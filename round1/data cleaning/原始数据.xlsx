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Sheet1!$D$1:$D$176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6" i="1" l="1"/>
  <c r="C175" i="1"/>
  <c r="C174" i="1"/>
  <c r="C173" i="1"/>
  <c r="C172" i="1"/>
  <c r="N171" i="1"/>
  <c r="C171" i="1"/>
  <c r="N170" i="1"/>
  <c r="C170" i="1"/>
  <c r="N169" i="1"/>
  <c r="C169" i="1"/>
  <c r="N168" i="1"/>
  <c r="C168" i="1"/>
  <c r="N167" i="1"/>
  <c r="C167" i="1"/>
  <c r="N166" i="1"/>
  <c r="C166" i="1"/>
  <c r="N165" i="1"/>
  <c r="C165" i="1"/>
  <c r="N164" i="1"/>
  <c r="C164" i="1"/>
  <c r="N163" i="1"/>
  <c r="C163" i="1"/>
  <c r="N162" i="1"/>
  <c r="C162" i="1"/>
  <c r="N161" i="1"/>
  <c r="C161" i="1"/>
  <c r="N160" i="1"/>
  <c r="C160" i="1"/>
  <c r="N159" i="1"/>
  <c r="C159" i="1"/>
  <c r="N158" i="1"/>
  <c r="C158" i="1"/>
  <c r="N157" i="1"/>
  <c r="C157" i="1"/>
  <c r="N156" i="1"/>
  <c r="C156" i="1"/>
  <c r="N155" i="1"/>
  <c r="C155" i="1"/>
  <c r="N154" i="1"/>
  <c r="C154" i="1"/>
  <c r="N153" i="1"/>
  <c r="C153" i="1"/>
  <c r="N152" i="1"/>
  <c r="C152" i="1"/>
  <c r="N151" i="1"/>
  <c r="C151" i="1"/>
  <c r="N150" i="1"/>
  <c r="C150" i="1"/>
  <c r="N149" i="1"/>
  <c r="C149" i="1"/>
  <c r="N148" i="1"/>
  <c r="C148" i="1"/>
  <c r="N147" i="1"/>
  <c r="C147" i="1"/>
  <c r="N146" i="1"/>
  <c r="C146" i="1"/>
  <c r="N145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N82" i="1"/>
  <c r="C82" i="1"/>
  <c r="N81" i="1"/>
  <c r="C81" i="1"/>
  <c r="N80" i="1"/>
  <c r="C80" i="1"/>
  <c r="N79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N52" i="1"/>
  <c r="C52" i="1"/>
  <c r="N51" i="1"/>
  <c r="C51" i="1"/>
  <c r="C50" i="1"/>
  <c r="N49" i="1"/>
  <c r="C49" i="1"/>
  <c r="N48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N19" i="1"/>
  <c r="C19" i="1"/>
  <c r="N18" i="1"/>
  <c r="C18" i="1"/>
  <c r="N17" i="1"/>
  <c r="C17" i="1"/>
  <c r="N16" i="1"/>
  <c r="C16" i="1"/>
  <c r="N15" i="1"/>
  <c r="C15" i="1"/>
  <c r="N14" i="1"/>
  <c r="C14" i="1"/>
  <c r="N13" i="1"/>
  <c r="C13" i="1"/>
  <c r="N12" i="1"/>
  <c r="C12" i="1"/>
  <c r="C11" i="1"/>
  <c r="C10" i="1"/>
  <c r="N9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<sst xmlns="http://schemas.openxmlformats.org/spreadsheetml/2006/main" count="1218" uniqueCount="159">
  <si>
    <t>化学式</t>
  </si>
  <si>
    <t>Ni/Fe比例</t>
  </si>
  <si>
    <t>掺杂元素1</t>
  </si>
  <si>
    <t>基底</t>
    <phoneticPr fontId="1" type="noConversion"/>
  </si>
  <si>
    <t>沉积方法</t>
  </si>
  <si>
    <t>沉积电压</t>
    <phoneticPr fontId="1" type="noConversion"/>
  </si>
  <si>
    <t>沉积电压+</t>
  </si>
  <si>
    <t>沉积电压-</t>
    <phoneticPr fontId="1" type="noConversion"/>
  </si>
  <si>
    <t>沉积电流A/cm2</t>
    <phoneticPr fontId="1" type="noConversion"/>
  </si>
  <si>
    <t>沉积面积cm2</t>
  </si>
  <si>
    <t>扫描速率mv/s</t>
  </si>
  <si>
    <t>周期数</t>
  </si>
  <si>
    <t>沉积时间/s</t>
  </si>
  <si>
    <t>温度</t>
  </si>
  <si>
    <t>铁价态</t>
    <phoneticPr fontId="1" type="noConversion"/>
  </si>
  <si>
    <t>前驱体铁</t>
  </si>
  <si>
    <t>浓度M</t>
  </si>
  <si>
    <t>前驱体镍</t>
  </si>
  <si>
    <t>掺杂前驱体1</t>
  </si>
  <si>
    <t>浓度</t>
  </si>
  <si>
    <t>掺杂前驱体2</t>
  </si>
  <si>
    <t>PH</t>
  </si>
  <si>
    <t>电解质浓度KOH/M</t>
  </si>
  <si>
    <t>iR矫正</t>
  </si>
  <si>
    <t>电流密度ma/cm2</t>
  </si>
  <si>
    <t>过电位mv</t>
  </si>
  <si>
    <t>10.1002/chem.202103601</t>
    <phoneticPr fontId="1" type="noConversion"/>
  </si>
  <si>
    <t>Ni-Fe-Co</t>
  </si>
  <si>
    <t>Co</t>
  </si>
  <si>
    <t>镍</t>
    <phoneticPr fontId="1" type="noConversion"/>
  </si>
  <si>
    <t>恒电位</t>
  </si>
  <si>
    <t>FeSO4</t>
  </si>
  <si>
    <t>Ni(NO3)2</t>
  </si>
  <si>
    <t>Co(NO3)2</t>
  </si>
  <si>
    <t>10.1002/chem.202103601</t>
    <phoneticPr fontId="1" type="noConversion"/>
  </si>
  <si>
    <t>镍</t>
    <phoneticPr fontId="1" type="noConversion"/>
  </si>
  <si>
    <t>10.1016/j.jcis.2024.06.096</t>
  </si>
  <si>
    <t>NiFeSP</t>
  </si>
  <si>
    <t>S</t>
  </si>
  <si>
    <t>碳</t>
    <phoneticPr fontId="1" type="noConversion"/>
  </si>
  <si>
    <t>恒电流</t>
  </si>
  <si>
    <t>FeCl3</t>
  </si>
  <si>
    <t>NiCl2</t>
  </si>
  <si>
    <t>SC(NH2)2</t>
  </si>
  <si>
    <t>10.1016/j.apcatb.2022.122269</t>
  </si>
  <si>
    <t>Ni-Fe</t>
  </si>
  <si>
    <t>碳</t>
    <phoneticPr fontId="1" type="noConversion"/>
  </si>
  <si>
    <t>Fe(NO3)3</t>
  </si>
  <si>
    <t>碳</t>
    <phoneticPr fontId="1" type="noConversion"/>
  </si>
  <si>
    <t>10.1016/j.apcatb.2022.122269</t>
    <phoneticPr fontId="1" type="noConversion"/>
  </si>
  <si>
    <t>10.19728/j.issn1672-6634.2022050006</t>
  </si>
  <si>
    <t>循环伏安</t>
  </si>
  <si>
    <r>
      <t>FeCl</t>
    </r>
    <r>
      <rPr>
        <sz val="11"/>
        <color theme="1"/>
        <rFont val="等线"/>
        <family val="3"/>
        <charset val="134"/>
        <scheme val="minor"/>
      </rPr>
      <t>3</t>
    </r>
    <phoneticPr fontId="1" type="noConversion"/>
  </si>
  <si>
    <t>CoCl2</t>
  </si>
  <si>
    <t>10.1016/j.ijhydene.2023.10.112</t>
    <phoneticPr fontId="1" type="noConversion"/>
  </si>
  <si>
    <t>Ni-Fe-Cr</t>
  </si>
  <si>
    <t>Cr</t>
  </si>
  <si>
    <t>镍</t>
    <phoneticPr fontId="1" type="noConversion"/>
  </si>
  <si>
    <t>NiSO4</t>
  </si>
  <si>
    <t>CrCl3</t>
  </si>
  <si>
    <t>10.20087/j.cnki.1672-8114.2024.02.005</t>
  </si>
  <si>
    <t>Ni-Fe-Mn</t>
  </si>
  <si>
    <t>Mn</t>
  </si>
  <si>
    <t>Mn(NO3)2</t>
  </si>
  <si>
    <t>10.1016/j.electacta.2017.12.110</t>
    <phoneticPr fontId="1" type="noConversion"/>
  </si>
  <si>
    <t>Ni-Fe-Mo</t>
  </si>
  <si>
    <t>Mo</t>
  </si>
  <si>
    <t>镍</t>
  </si>
  <si>
    <t>Na2MoO4</t>
  </si>
  <si>
    <t>10.1016/j.electacta.2017.12.110</t>
  </si>
  <si>
    <t>10.1016/j.electacta.2021.138754</t>
    <phoneticPr fontId="1" type="noConversion"/>
  </si>
  <si>
    <t>10.1016/j.fuel.2024.133302</t>
    <phoneticPr fontId="1" type="noConversion"/>
  </si>
  <si>
    <t>Ni-Fe-Mo</t>
    <phoneticPr fontId="1" type="noConversion"/>
  </si>
  <si>
    <t>Mo</t>
    <phoneticPr fontId="1" type="noConversion"/>
  </si>
  <si>
    <t>恒电流</t>
    <phoneticPr fontId="1" type="noConversion"/>
  </si>
  <si>
    <t>Fe2(SO4)3</t>
    <phoneticPr fontId="1" type="noConversion"/>
  </si>
  <si>
    <t>NiSO4</t>
    <phoneticPr fontId="1" type="noConversion"/>
  </si>
  <si>
    <t>Na2MoO4</t>
    <phoneticPr fontId="1" type="noConversion"/>
  </si>
  <si>
    <t>10.1016/j.fuel.2024.133302</t>
  </si>
  <si>
    <t>Mo</t>
    <phoneticPr fontId="1" type="noConversion"/>
  </si>
  <si>
    <t>恒电流</t>
    <phoneticPr fontId="1" type="noConversion"/>
  </si>
  <si>
    <t>Fe2(SO4)3</t>
    <phoneticPr fontId="1" type="noConversion"/>
  </si>
  <si>
    <t>NiSO4</t>
    <phoneticPr fontId="1" type="noConversion"/>
  </si>
  <si>
    <t>恒电流</t>
    <phoneticPr fontId="1" type="noConversion"/>
  </si>
  <si>
    <t>Fe2(SO4)3</t>
    <phoneticPr fontId="1" type="noConversion"/>
  </si>
  <si>
    <t>Na2MoO4</t>
    <phoneticPr fontId="1" type="noConversion"/>
  </si>
  <si>
    <t>10.1039/d4nj00797b</t>
  </si>
  <si>
    <t>铜</t>
    <phoneticPr fontId="1" type="noConversion"/>
  </si>
  <si>
    <t>10.12034/j.issn.1009-606X.218214</t>
  </si>
  <si>
    <t>Ni-Fe-Sn</t>
  </si>
  <si>
    <t>Sn</t>
  </si>
  <si>
    <t>SnCl2</t>
  </si>
  <si>
    <t>10.1016/j.ijhydene.2020.12.110</t>
  </si>
  <si>
    <t>铜</t>
  </si>
  <si>
    <t>FeCl2</t>
  </si>
  <si>
    <t>10.1016/j.ijhydene.2018.05.107</t>
  </si>
  <si>
    <t>Ni-Fe-P</t>
  </si>
  <si>
    <t>P</t>
  </si>
  <si>
    <t>铜</t>
    <phoneticPr fontId="1" type="noConversion"/>
  </si>
  <si>
    <t>NaH2PO2</t>
  </si>
  <si>
    <t>10.1016/j.jallcom.2020.154708</t>
  </si>
  <si>
    <t>10.1016/j.jelechem.2024.118702</t>
  </si>
  <si>
    <t>10.1016/j.ijhydene.2020.10.174</t>
  </si>
  <si>
    <t>铜</t>
    <phoneticPr fontId="1" type="noConversion"/>
  </si>
  <si>
    <t>铜</t>
    <phoneticPr fontId="1" type="noConversion"/>
  </si>
  <si>
    <t>10.1016/j.jelechem.2025.118996</t>
  </si>
  <si>
    <t>镍</t>
    <phoneticPr fontId="1" type="noConversion"/>
  </si>
  <si>
    <t>Fe2(SO4)3</t>
  </si>
  <si>
    <t>10.1016/j.ijhydene.2022.09.200</t>
  </si>
  <si>
    <t>10.1039/c6ta05952j</t>
  </si>
  <si>
    <t>10.1016/j.ijhydene.2022.09.200</t>
    <phoneticPr fontId="1" type="noConversion"/>
  </si>
  <si>
    <t>Ni-Fe-S</t>
  </si>
  <si>
    <t>Na2S2O3</t>
  </si>
  <si>
    <t>10.1016/j.ijhydene.2023.08.143</t>
  </si>
  <si>
    <t>镍</t>
    <phoneticPr fontId="1" type="noConversion"/>
  </si>
  <si>
    <t>10.1016/j.jallcom.2021.162533</t>
  </si>
  <si>
    <t>CH4N2S</t>
  </si>
  <si>
    <t>P</t>
    <phoneticPr fontId="1" type="noConversion"/>
  </si>
  <si>
    <t>碳</t>
    <phoneticPr fontId="1" type="noConversion"/>
  </si>
  <si>
    <t>10.1016/j.electacta.2019.01.151</t>
    <phoneticPr fontId="1" type="noConversion"/>
  </si>
  <si>
    <t>铜</t>
    <phoneticPr fontId="1" type="noConversion"/>
  </si>
  <si>
    <t>10.1002/cssc.202002544</t>
    <phoneticPr fontId="1" type="noConversion"/>
  </si>
  <si>
    <t>Ni-Fe-W</t>
    <phoneticPr fontId="1" type="noConversion"/>
  </si>
  <si>
    <t>W</t>
  </si>
  <si>
    <t>Na2WO4</t>
  </si>
  <si>
    <t>10.1002/cssc.202002544</t>
  </si>
  <si>
    <t>Ni-Fe-W</t>
  </si>
  <si>
    <t>10.1002/cssc.202002544</t>
    <phoneticPr fontId="1" type="noConversion"/>
  </si>
  <si>
    <t>镍</t>
    <phoneticPr fontId="1" type="noConversion"/>
  </si>
  <si>
    <t>10.1002/celc.201600713</t>
    <phoneticPr fontId="1" type="noConversion"/>
  </si>
  <si>
    <t>10.1002/chem.202302055</t>
  </si>
  <si>
    <t>Fe-Ni(OH)2</t>
  </si>
  <si>
    <t>Ni-Fe</t>
    <phoneticPr fontId="1" type="noConversion"/>
  </si>
  <si>
    <t>Ni-Fe</t>
    <phoneticPr fontId="1" type="noConversion"/>
  </si>
  <si>
    <r>
      <t>FeCl</t>
    </r>
    <r>
      <rPr>
        <sz val="11"/>
        <color theme="1"/>
        <rFont val="等线"/>
        <family val="3"/>
        <charset val="134"/>
        <scheme val="minor"/>
      </rPr>
      <t>3</t>
    </r>
    <phoneticPr fontId="1" type="noConversion"/>
  </si>
  <si>
    <t>碳</t>
    <phoneticPr fontId="1" type="noConversion"/>
  </si>
  <si>
    <r>
      <t>FeCl</t>
    </r>
    <r>
      <rPr>
        <sz val="11"/>
        <color theme="1"/>
        <rFont val="等线"/>
        <family val="3"/>
        <charset val="134"/>
        <scheme val="minor"/>
      </rPr>
      <t>3</t>
    </r>
    <phoneticPr fontId="1" type="noConversion"/>
  </si>
  <si>
    <t>10.1016/j.electacta.2019.01.151</t>
    <phoneticPr fontId="1" type="noConversion"/>
  </si>
  <si>
    <t>10.1016/j.electacta.2021.138754</t>
  </si>
  <si>
    <t>铜</t>
    <phoneticPr fontId="1" type="noConversion"/>
  </si>
  <si>
    <t>10.1016/j.jnoncrysol.2022.121598</t>
    <phoneticPr fontId="1" type="noConversion"/>
  </si>
  <si>
    <r>
      <t>Ni-Fe-</t>
    </r>
    <r>
      <rPr>
        <sz val="11"/>
        <color theme="1"/>
        <rFont val="等线"/>
        <family val="3"/>
        <charset val="134"/>
        <scheme val="minor"/>
      </rPr>
      <t>P</t>
    </r>
    <phoneticPr fontId="1" type="noConversion"/>
  </si>
  <si>
    <t>NaPO2</t>
  </si>
  <si>
    <t>10.1016/j.ijhydene.2023.10.112</t>
  </si>
  <si>
    <t>10.1016/j.inoche.2022.109350</t>
    <phoneticPr fontId="1" type="noConversion"/>
  </si>
  <si>
    <t>10.1016/j.inoche.2022.109350</t>
  </si>
  <si>
    <t>10.1016/j.inoche.2022.109350</t>
    <phoneticPr fontId="1" type="noConversion"/>
  </si>
  <si>
    <t>10.1016/j.jechem.2022.01.020</t>
  </si>
  <si>
    <t>铁</t>
    <phoneticPr fontId="1" type="noConversion"/>
  </si>
  <si>
    <t>10.1021/acssuschemeng.0c03017</t>
  </si>
  <si>
    <t>铁</t>
    <phoneticPr fontId="1" type="noConversion"/>
  </si>
  <si>
    <t>NiFe(OH)2</t>
  </si>
  <si>
    <t>10.13353/j.issn.1004.9533.20210304</t>
  </si>
  <si>
    <t>10.13353/j.issn.1004.9533.20242022</t>
  </si>
  <si>
    <r>
      <t>N</t>
    </r>
    <r>
      <rPr>
        <sz val="11"/>
        <color theme="1"/>
        <rFont val="等线"/>
        <family val="3"/>
        <charset val="134"/>
        <scheme val="minor"/>
      </rPr>
      <t>i-Fe</t>
    </r>
    <phoneticPr fontId="1" type="noConversion"/>
  </si>
  <si>
    <r>
      <t>Fe</t>
    </r>
    <r>
      <rPr>
        <sz val="11"/>
        <color theme="1"/>
        <rFont val="等线"/>
        <family val="3"/>
        <charset val="134"/>
        <scheme val="minor"/>
      </rPr>
      <t>Cl2</t>
    </r>
    <phoneticPr fontId="1" type="noConversion"/>
  </si>
  <si>
    <t>NiCl2</t>
    <phoneticPr fontId="1" type="noConversion"/>
  </si>
  <si>
    <t>10.16813/j.cnki.cn35-1286/g4.2016.05.004</t>
  </si>
  <si>
    <t>参考文献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</si>
</sst>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rgb="FF000000"/>
      <name val="Arial"/>
      <family val="2"/>
    </font>
    <font>
      <sz val="10.5"/>
      <color rgb="FF279EF2"/>
      <name val="Helvetica"/>
      <family val="2"/>
    </font>
    <font>
      <sz val="10.5"/>
      <color rgb="FF000000"/>
      <name val="宋体"/>
      <family val="3"/>
      <charset val="134"/>
    </font>
    <font>
      <sz val="10.5"/>
      <color rgb="FF888888"/>
      <name val="Microsoft YaHei"/>
      <charset val="134"/>
    </font>
    <font>
      <u/>
      <sz val="11"/>
      <color theme="10"/>
      <name val="等线"/>
      <family val="3"/>
      <charset val="134"/>
      <scheme val="minor"/>
    </font>
    <font>
      <sz val="10.5"/>
      <color rgb="FF333333"/>
      <name val="Arial"/>
      <family val="2"/>
    </font>
    <font>
      <sz val="12"/>
      <color theme="1"/>
      <name val="Times New Roman"/>
      <family val="1"/>
    </font>
    <font>
      <sz val="8"/>
      <color rgb="FF2162BB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1" applyFont="1" applyFill="1" applyAlignment="1">
      <alignment horizontal="center"/>
    </xf>
    <xf numFmtId="0" fontId="7" fillId="0" borderId="0" xfId="1" applyFill="1" applyAlignment="1">
      <alignment horizontal="center"/>
    </xf>
    <xf numFmtId="0" fontId="8" fillId="0" borderId="0" xfId="0" applyFont="1" applyFill="1" applyAlignment="1">
      <alignment horizontal="center"/>
    </xf>
    <xf numFmtId="0" fontId="2" fillId="0" borderId="0" xfId="0" quotePrefix="1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x-mol.com/paperRedirect/1499039208392515584" TargetMode="External"/><Relationship Id="rId21" Type="http://schemas.openxmlformats.org/officeDocument/2006/relationships/hyperlink" Target="https://www.x-mol.com/paperRedirect/1499039208392515584" TargetMode="External"/><Relationship Id="rId42" Type="http://schemas.openxmlformats.org/officeDocument/2006/relationships/hyperlink" Target="https://www.x-mol.com/paperRedirect/1345490051206156288" TargetMode="External"/><Relationship Id="rId47" Type="http://schemas.openxmlformats.org/officeDocument/2006/relationships/hyperlink" Target="https://www.x-mol.com/paperRedirect/1345490051206156288" TargetMode="External"/><Relationship Id="rId63" Type="http://schemas.openxmlformats.org/officeDocument/2006/relationships/hyperlink" Target="https://www.x-mol.com/paperRedirect/1275294968604815360" TargetMode="External"/><Relationship Id="rId68" Type="http://schemas.openxmlformats.org/officeDocument/2006/relationships/hyperlink" Target="https://www.x-mol.com/paperRedirect/1275294968604815360" TargetMode="External"/><Relationship Id="rId84" Type="http://schemas.openxmlformats.org/officeDocument/2006/relationships/hyperlink" Target="https://www.x-mol.com/paperRedirect/1275294968604815360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https://www.x-mol.com/paperRedirect/498760" TargetMode="External"/><Relationship Id="rId11" Type="http://schemas.openxmlformats.org/officeDocument/2006/relationships/hyperlink" Target="https://www.x-mol.com/paperRedirect/498760" TargetMode="External"/><Relationship Id="rId32" Type="http://schemas.openxmlformats.org/officeDocument/2006/relationships/hyperlink" Target="https://www.x-mol.com/paperRedirect/1696752762140512256" TargetMode="External"/><Relationship Id="rId37" Type="http://schemas.openxmlformats.org/officeDocument/2006/relationships/hyperlink" Target="https://doi.org/10.12034/j.issn.1009-606X.218214" TargetMode="External"/><Relationship Id="rId53" Type="http://schemas.openxmlformats.org/officeDocument/2006/relationships/hyperlink" Target="https://www.x-mol.com/paperRedirect/1275294968604815360" TargetMode="External"/><Relationship Id="rId58" Type="http://schemas.openxmlformats.org/officeDocument/2006/relationships/hyperlink" Target="https://www.x-mol.com/paperRedirect/1275294968604815360" TargetMode="External"/><Relationship Id="rId74" Type="http://schemas.openxmlformats.org/officeDocument/2006/relationships/hyperlink" Target="https://www.x-mol.com/paperRedirect/1499039208392515584" TargetMode="External"/><Relationship Id="rId79" Type="http://schemas.openxmlformats.org/officeDocument/2006/relationships/hyperlink" Target="https://www.x-mol.com/paperRedirect/1499039208392515584" TargetMode="External"/><Relationship Id="rId5" Type="http://schemas.openxmlformats.org/officeDocument/2006/relationships/hyperlink" Target="https://www.x-mol.com/paperRedirect/1454204422604095488" TargetMode="External"/><Relationship Id="rId14" Type="http://schemas.openxmlformats.org/officeDocument/2006/relationships/hyperlink" Target="https://www.x-mol.com/paperRedirect/498760" TargetMode="External"/><Relationship Id="rId22" Type="http://schemas.openxmlformats.org/officeDocument/2006/relationships/hyperlink" Target="https://www.x-mol.com/paperRedirect/1499039208392515584" TargetMode="External"/><Relationship Id="rId27" Type="http://schemas.openxmlformats.org/officeDocument/2006/relationships/hyperlink" Target="https://www.x-mol.com/paperRedirect/1499039208392515584" TargetMode="External"/><Relationship Id="rId30" Type="http://schemas.openxmlformats.org/officeDocument/2006/relationships/hyperlink" Target="https://www.x-mol.com/paperRedirect/1499039208392515584" TargetMode="External"/><Relationship Id="rId35" Type="http://schemas.openxmlformats.org/officeDocument/2006/relationships/hyperlink" Target="https://www.x-mol.com/paperRedirect/1696752762140512256" TargetMode="External"/><Relationship Id="rId43" Type="http://schemas.openxmlformats.org/officeDocument/2006/relationships/hyperlink" Target="https://www.x-mol.com/paperRedirect/1345490051206156288" TargetMode="External"/><Relationship Id="rId48" Type="http://schemas.openxmlformats.org/officeDocument/2006/relationships/hyperlink" Target="https://www.x-mol.com/paperRedirect/1345490051206156288" TargetMode="External"/><Relationship Id="rId56" Type="http://schemas.openxmlformats.org/officeDocument/2006/relationships/hyperlink" Target="https://www.x-mol.com/paperRedirect/1275294968604815360" TargetMode="External"/><Relationship Id="rId64" Type="http://schemas.openxmlformats.org/officeDocument/2006/relationships/hyperlink" Target="https://www.x-mol.com/paperRedirect/1275294968604815360" TargetMode="External"/><Relationship Id="rId69" Type="http://schemas.openxmlformats.org/officeDocument/2006/relationships/hyperlink" Target="https://www.x-mol.com/paperRedirect/1840855307428749312" TargetMode="External"/><Relationship Id="rId77" Type="http://schemas.openxmlformats.org/officeDocument/2006/relationships/hyperlink" Target="https://www.x-mol.com/paperRedirect/1499039208392515584" TargetMode="External"/><Relationship Id="rId8" Type="http://schemas.openxmlformats.org/officeDocument/2006/relationships/hyperlink" Target="https://www.x-mol.com/paperRedirect/1233302835013111808" TargetMode="External"/><Relationship Id="rId51" Type="http://schemas.openxmlformats.org/officeDocument/2006/relationships/hyperlink" Target="https://www.x-mol.com/paperRedirect/1275294968604815360" TargetMode="External"/><Relationship Id="rId72" Type="http://schemas.openxmlformats.org/officeDocument/2006/relationships/hyperlink" Target="https://www.x-mol.com/paperRedirect/1499039208392515584" TargetMode="External"/><Relationship Id="rId80" Type="http://schemas.openxmlformats.org/officeDocument/2006/relationships/hyperlink" Target="https://www.x-mol.com/paperRedirect/1802439888836554752" TargetMode="External"/><Relationship Id="rId85" Type="http://schemas.openxmlformats.org/officeDocument/2006/relationships/hyperlink" Target="https://www.x-mol.com/paperRedirect/1275294968604815360" TargetMode="External"/><Relationship Id="rId3" Type="http://schemas.openxmlformats.org/officeDocument/2006/relationships/hyperlink" Target="https://www.x-mol.com/paperRedirect/1802439888836554752" TargetMode="External"/><Relationship Id="rId12" Type="http://schemas.openxmlformats.org/officeDocument/2006/relationships/hyperlink" Target="https://www.x-mol.com/paperRedirect/498760" TargetMode="External"/><Relationship Id="rId17" Type="http://schemas.openxmlformats.org/officeDocument/2006/relationships/hyperlink" Target="https://www.x-mol.com/paperRedirect/498760" TargetMode="External"/><Relationship Id="rId25" Type="http://schemas.openxmlformats.org/officeDocument/2006/relationships/hyperlink" Target="https://www.x-mol.com/paperRedirect/1499039208392515584" TargetMode="External"/><Relationship Id="rId33" Type="http://schemas.openxmlformats.org/officeDocument/2006/relationships/hyperlink" Target="https://www.x-mol.com/paperRedirect/1696752762140512256" TargetMode="External"/><Relationship Id="rId38" Type="http://schemas.openxmlformats.org/officeDocument/2006/relationships/hyperlink" Target="https://www.x-mol.com/paperRedirect/1345490051206156288" TargetMode="External"/><Relationship Id="rId46" Type="http://schemas.openxmlformats.org/officeDocument/2006/relationships/hyperlink" Target="https://www.x-mol.com/paperRedirect/1345490051206156288" TargetMode="External"/><Relationship Id="rId59" Type="http://schemas.openxmlformats.org/officeDocument/2006/relationships/hyperlink" Target="https://www.x-mol.com/paperRedirect/1275294968604815360" TargetMode="External"/><Relationship Id="rId67" Type="http://schemas.openxmlformats.org/officeDocument/2006/relationships/hyperlink" Target="https://www.x-mol.com/paperRedirect/1275294968604815360" TargetMode="External"/><Relationship Id="rId20" Type="http://schemas.openxmlformats.org/officeDocument/2006/relationships/hyperlink" Target="https://www.x-mol.com/paperRedirect/1892321217590419456" TargetMode="External"/><Relationship Id="rId41" Type="http://schemas.openxmlformats.org/officeDocument/2006/relationships/hyperlink" Target="https://www.x-mol.com/paperRedirect/1345490051206156288" TargetMode="External"/><Relationship Id="rId54" Type="http://schemas.openxmlformats.org/officeDocument/2006/relationships/hyperlink" Target="https://www.x-mol.com/paperRedirect/1275294968604815360" TargetMode="External"/><Relationship Id="rId62" Type="http://schemas.openxmlformats.org/officeDocument/2006/relationships/hyperlink" Target="https://www.x-mol.com/paperRedirect/1275294968604815360" TargetMode="External"/><Relationship Id="rId70" Type="http://schemas.openxmlformats.org/officeDocument/2006/relationships/hyperlink" Target="https://www.x-mol.com/paperRedirect/1840855307428749312" TargetMode="External"/><Relationship Id="rId75" Type="http://schemas.openxmlformats.org/officeDocument/2006/relationships/hyperlink" Target="https://www.x-mol.com/paperRedirect/1499039208392515584" TargetMode="External"/><Relationship Id="rId83" Type="http://schemas.openxmlformats.org/officeDocument/2006/relationships/hyperlink" Target="https://www.x-mol.com/paperRedirect/1275294968604815360" TargetMode="External"/><Relationship Id="rId88" Type="http://schemas.openxmlformats.org/officeDocument/2006/relationships/hyperlink" Target="https://www.x-mol.com/paperRedirect/1275294968604815360" TargetMode="External"/><Relationship Id="rId1" Type="http://schemas.openxmlformats.org/officeDocument/2006/relationships/hyperlink" Target="https://www.x-mol.com/paperRedirect/1580445467726581760" TargetMode="External"/><Relationship Id="rId6" Type="http://schemas.openxmlformats.org/officeDocument/2006/relationships/hyperlink" Target="https://www.x-mol.com/paperRedirect/1454204422604095488" TargetMode="External"/><Relationship Id="rId15" Type="http://schemas.openxmlformats.org/officeDocument/2006/relationships/hyperlink" Target="https://www.x-mol.com/paperRedirect/498760" TargetMode="External"/><Relationship Id="rId23" Type="http://schemas.openxmlformats.org/officeDocument/2006/relationships/hyperlink" Target="https://www.x-mol.com/paperRedirect/1499039208392515584" TargetMode="External"/><Relationship Id="rId28" Type="http://schemas.openxmlformats.org/officeDocument/2006/relationships/hyperlink" Target="https://www.x-mol.com/paperRedirect/1499039208392515584" TargetMode="External"/><Relationship Id="rId36" Type="http://schemas.openxmlformats.org/officeDocument/2006/relationships/hyperlink" Target="https://www.x-mol.com/paperRedirect/1696752762140512256" TargetMode="External"/><Relationship Id="rId49" Type="http://schemas.openxmlformats.org/officeDocument/2006/relationships/hyperlink" Target="https://www.x-mol.com/paperRedirect/1345490051206156288" TargetMode="External"/><Relationship Id="rId57" Type="http://schemas.openxmlformats.org/officeDocument/2006/relationships/hyperlink" Target="https://www.x-mol.com/paperRedirect/1275294968604815360" TargetMode="External"/><Relationship Id="rId10" Type="http://schemas.openxmlformats.org/officeDocument/2006/relationships/hyperlink" Target="https://www.x-mol.com/paperRedirect/498760" TargetMode="External"/><Relationship Id="rId31" Type="http://schemas.openxmlformats.org/officeDocument/2006/relationships/hyperlink" Target="https://www.x-mol.com/paperRedirect/1696752762140512256" TargetMode="External"/><Relationship Id="rId44" Type="http://schemas.openxmlformats.org/officeDocument/2006/relationships/hyperlink" Target="https://www.x-mol.com/paperRedirect/1345490051206156288" TargetMode="External"/><Relationship Id="rId52" Type="http://schemas.openxmlformats.org/officeDocument/2006/relationships/hyperlink" Target="https://www.x-mol.com/paperRedirect/1275294968604815360" TargetMode="External"/><Relationship Id="rId60" Type="http://schemas.openxmlformats.org/officeDocument/2006/relationships/hyperlink" Target="https://www.x-mol.com/paperRedirect/1275294968604815360" TargetMode="External"/><Relationship Id="rId65" Type="http://schemas.openxmlformats.org/officeDocument/2006/relationships/hyperlink" Target="https://www.x-mol.com/paperRedirect/1275294968604815360" TargetMode="External"/><Relationship Id="rId73" Type="http://schemas.openxmlformats.org/officeDocument/2006/relationships/hyperlink" Target="https://www.x-mol.com/paperRedirect/1499039208392515584" TargetMode="External"/><Relationship Id="rId78" Type="http://schemas.openxmlformats.org/officeDocument/2006/relationships/hyperlink" Target="https://www.x-mol.com/paperRedirect/1499039208392515584" TargetMode="External"/><Relationship Id="rId81" Type="http://schemas.openxmlformats.org/officeDocument/2006/relationships/hyperlink" Target="https://www.x-mol.com/paperRedirect/1275294968604815360" TargetMode="External"/><Relationship Id="rId86" Type="http://schemas.openxmlformats.org/officeDocument/2006/relationships/hyperlink" Target="https://www.x-mol.com/paperRedirect/1275294968604815360" TargetMode="External"/><Relationship Id="rId4" Type="http://schemas.openxmlformats.org/officeDocument/2006/relationships/hyperlink" Target="https://www.x-mol.com/paperRedirect/1454204422604095488" TargetMode="External"/><Relationship Id="rId9" Type="http://schemas.openxmlformats.org/officeDocument/2006/relationships/hyperlink" Target="https://www.x-mol.com/paperRedirect/498760" TargetMode="External"/><Relationship Id="rId13" Type="http://schemas.openxmlformats.org/officeDocument/2006/relationships/hyperlink" Target="https://www.x-mol.com/paperRedirect/498760" TargetMode="External"/><Relationship Id="rId18" Type="http://schemas.openxmlformats.org/officeDocument/2006/relationships/hyperlink" Target="https://www.x-mol.com/paperRedirect/498760" TargetMode="External"/><Relationship Id="rId39" Type="http://schemas.openxmlformats.org/officeDocument/2006/relationships/hyperlink" Target="https://www.x-mol.com/paperRedirect/1345490051206156288" TargetMode="External"/><Relationship Id="rId34" Type="http://schemas.openxmlformats.org/officeDocument/2006/relationships/hyperlink" Target="https://www.x-mol.com/paperRedirect/1696752762140512256" TargetMode="External"/><Relationship Id="rId50" Type="http://schemas.openxmlformats.org/officeDocument/2006/relationships/hyperlink" Target="https://www.x-mol.com/paperRedirect/1345490051206156288" TargetMode="External"/><Relationship Id="rId55" Type="http://schemas.openxmlformats.org/officeDocument/2006/relationships/hyperlink" Target="https://www.x-mol.com/paperRedirect/1275294968604815360" TargetMode="External"/><Relationship Id="rId76" Type="http://schemas.openxmlformats.org/officeDocument/2006/relationships/hyperlink" Target="https://www.x-mol.com/paperRedirect/1499039208392515584" TargetMode="External"/><Relationship Id="rId7" Type="http://schemas.openxmlformats.org/officeDocument/2006/relationships/hyperlink" Target="https://www.x-mol.com/paperRedirect/1454204422604095488" TargetMode="External"/><Relationship Id="rId71" Type="http://schemas.openxmlformats.org/officeDocument/2006/relationships/hyperlink" Target="https://www.x-mol.com/paperRedirect/1840855307428749312" TargetMode="External"/><Relationship Id="rId2" Type="http://schemas.openxmlformats.org/officeDocument/2006/relationships/hyperlink" Target="https://www.x-mol.com/paperRedirect/1580445467726581760" TargetMode="External"/><Relationship Id="rId29" Type="http://schemas.openxmlformats.org/officeDocument/2006/relationships/hyperlink" Target="https://www.x-mol.com/paperRedirect/1499039208392515584" TargetMode="External"/><Relationship Id="rId24" Type="http://schemas.openxmlformats.org/officeDocument/2006/relationships/hyperlink" Target="https://www.x-mol.com/paperRedirect/1499039208392515584" TargetMode="External"/><Relationship Id="rId40" Type="http://schemas.openxmlformats.org/officeDocument/2006/relationships/hyperlink" Target="https://www.x-mol.com/paperRedirect/1345490051206156288" TargetMode="External"/><Relationship Id="rId45" Type="http://schemas.openxmlformats.org/officeDocument/2006/relationships/hyperlink" Target="https://www.x-mol.com/paperRedirect/1345490051206156288" TargetMode="External"/><Relationship Id="rId66" Type="http://schemas.openxmlformats.org/officeDocument/2006/relationships/hyperlink" Target="https://www.x-mol.com/paperRedirect/1275294968604815360" TargetMode="External"/><Relationship Id="rId87" Type="http://schemas.openxmlformats.org/officeDocument/2006/relationships/hyperlink" Target="https://www.x-mol.com/paperRedirect/1275294968604815360" TargetMode="External"/><Relationship Id="rId61" Type="http://schemas.openxmlformats.org/officeDocument/2006/relationships/hyperlink" Target="https://www.x-mol.com/paperRedirect/1275294968604815360" TargetMode="External"/><Relationship Id="rId82" Type="http://schemas.openxmlformats.org/officeDocument/2006/relationships/hyperlink" Target="https://www.x-mol.com/paperRedirect/1275294968604815360" TargetMode="External"/><Relationship Id="rId19" Type="http://schemas.openxmlformats.org/officeDocument/2006/relationships/hyperlink" Target="https://www.x-mol.com/paperRedirect/1892321217590419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6"/>
  <sheetViews>
    <sheetView tabSelected="1" topLeftCell="S1" workbookViewId="0">
      <selection activeCell="AJ10" sqref="AJ10"/>
    </sheetView>
  </sheetViews>
  <sheetFormatPr defaultColWidth="9" defaultRowHeight="14.25"/>
  <cols>
    <col min="1" max="1" width="25.5" style="1" customWidth="1"/>
    <col min="2" max="2" width="13.875" style="1" customWidth="1"/>
    <col min="3" max="3" width="9" style="2"/>
    <col min="4" max="25" width="9" style="1"/>
    <col min="26" max="26" width="9" style="4"/>
    <col min="27" max="16384" width="9" style="1"/>
  </cols>
  <sheetData>
    <row r="1" spans="1:30">
      <c r="A1" s="1" t="s">
        <v>158</v>
      </c>
      <c r="B1" s="1" t="s">
        <v>0</v>
      </c>
      <c r="C1" s="2" t="s">
        <v>1</v>
      </c>
      <c r="D1" s="1" t="s">
        <v>2</v>
      </c>
      <c r="E1" s="3" t="s">
        <v>3</v>
      </c>
      <c r="F1" s="1" t="s">
        <v>4</v>
      </c>
      <c r="G1" s="3" t="s">
        <v>5</v>
      </c>
      <c r="H1" s="1" t="s">
        <v>6</v>
      </c>
      <c r="I1" s="3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19</v>
      </c>
      <c r="Y1" s="1" t="s">
        <v>21</v>
      </c>
      <c r="Z1" s="4" t="s">
        <v>22</v>
      </c>
      <c r="AA1" s="1" t="s">
        <v>13</v>
      </c>
      <c r="AB1" s="1" t="s">
        <v>23</v>
      </c>
      <c r="AC1" s="1" t="s">
        <v>24</v>
      </c>
      <c r="AD1" s="1" t="s">
        <v>25</v>
      </c>
    </row>
    <row r="2" spans="1:30">
      <c r="A2" s="5" t="s">
        <v>26</v>
      </c>
      <c r="B2" s="1" t="s">
        <v>27</v>
      </c>
      <c r="C2" s="2">
        <f t="shared" ref="C2:C65" si="0">T2/R2</f>
        <v>1.3333333333333333</v>
      </c>
      <c r="D2" s="1" t="s">
        <v>28</v>
      </c>
      <c r="E2" s="3" t="s">
        <v>29</v>
      </c>
      <c r="F2" s="1" t="s">
        <v>30</v>
      </c>
      <c r="G2" s="1">
        <v>-1</v>
      </c>
      <c r="K2" s="1">
        <v>1</v>
      </c>
      <c r="N2" s="1">
        <v>300</v>
      </c>
      <c r="P2" s="1">
        <v>2</v>
      </c>
      <c r="Q2" s="1" t="s">
        <v>31</v>
      </c>
      <c r="R2" s="1">
        <v>0.1125</v>
      </c>
      <c r="S2" s="1" t="s">
        <v>32</v>
      </c>
      <c r="T2" s="1">
        <v>0.15</v>
      </c>
      <c r="U2" s="1" t="s">
        <v>33</v>
      </c>
      <c r="V2" s="1">
        <v>3.7499999999999999E-2</v>
      </c>
      <c r="Y2" s="1">
        <v>5</v>
      </c>
      <c r="Z2" s="4">
        <v>1</v>
      </c>
      <c r="AB2" s="3">
        <v>0.9</v>
      </c>
      <c r="AC2" s="1">
        <v>10</v>
      </c>
      <c r="AD2" s="1">
        <v>236</v>
      </c>
    </row>
    <row r="3" spans="1:30">
      <c r="A3" s="5" t="s">
        <v>34</v>
      </c>
      <c r="B3" s="1" t="s">
        <v>27</v>
      </c>
      <c r="C3" s="2">
        <f t="shared" si="0"/>
        <v>2</v>
      </c>
      <c r="D3" s="1" t="s">
        <v>28</v>
      </c>
      <c r="E3" s="3" t="s">
        <v>35</v>
      </c>
      <c r="F3" s="1" t="s">
        <v>30</v>
      </c>
      <c r="G3" s="1">
        <v>-1</v>
      </c>
      <c r="K3" s="1">
        <v>1</v>
      </c>
      <c r="N3" s="1">
        <v>300</v>
      </c>
      <c r="P3" s="1">
        <v>2</v>
      </c>
      <c r="Q3" s="1" t="s">
        <v>31</v>
      </c>
      <c r="R3" s="1">
        <v>7.4999999999999997E-2</v>
      </c>
      <c r="S3" s="1" t="s">
        <v>32</v>
      </c>
      <c r="T3" s="1">
        <v>0.15</v>
      </c>
      <c r="U3" s="1" t="s">
        <v>33</v>
      </c>
      <c r="V3" s="1">
        <v>7.4999999999999997E-2</v>
      </c>
      <c r="Y3" s="1">
        <v>5</v>
      </c>
      <c r="Z3" s="4">
        <v>1</v>
      </c>
      <c r="AB3" s="3">
        <v>0.9</v>
      </c>
      <c r="AC3" s="1">
        <v>10</v>
      </c>
      <c r="AD3" s="1">
        <v>209</v>
      </c>
    </row>
    <row r="4" spans="1:30">
      <c r="A4" s="5" t="s">
        <v>26</v>
      </c>
      <c r="B4" s="1" t="s">
        <v>27</v>
      </c>
      <c r="C4" s="2">
        <f t="shared" si="0"/>
        <v>4</v>
      </c>
      <c r="D4" s="1" t="s">
        <v>28</v>
      </c>
      <c r="E4" s="3" t="s">
        <v>29</v>
      </c>
      <c r="F4" s="1" t="s">
        <v>30</v>
      </c>
      <c r="G4" s="1">
        <v>-1</v>
      </c>
      <c r="K4" s="1">
        <v>1</v>
      </c>
      <c r="N4" s="1">
        <v>300</v>
      </c>
      <c r="P4" s="1">
        <v>2</v>
      </c>
      <c r="Q4" s="1" t="s">
        <v>31</v>
      </c>
      <c r="R4" s="1">
        <v>3.7499999999999999E-2</v>
      </c>
      <c r="S4" s="1" t="s">
        <v>32</v>
      </c>
      <c r="T4" s="1">
        <v>0.15</v>
      </c>
      <c r="U4" s="1" t="s">
        <v>33</v>
      </c>
      <c r="V4" s="1">
        <v>0.1125</v>
      </c>
      <c r="Y4" s="1">
        <v>5</v>
      </c>
      <c r="Z4" s="4">
        <v>1</v>
      </c>
      <c r="AB4" s="3">
        <v>0.9</v>
      </c>
      <c r="AC4" s="1">
        <v>10</v>
      </c>
      <c r="AD4" s="1">
        <v>255</v>
      </c>
    </row>
    <row r="5" spans="1:30">
      <c r="A5" s="6" t="s">
        <v>36</v>
      </c>
      <c r="B5" s="1" t="s">
        <v>37</v>
      </c>
      <c r="C5" s="2">
        <f t="shared" si="0"/>
        <v>3</v>
      </c>
      <c r="D5" s="1" t="s">
        <v>38</v>
      </c>
      <c r="E5" s="3" t="s">
        <v>39</v>
      </c>
      <c r="F5" s="1" t="s">
        <v>40</v>
      </c>
      <c r="J5" s="1">
        <v>0.25</v>
      </c>
      <c r="K5" s="1">
        <v>1</v>
      </c>
      <c r="N5" s="1">
        <v>425</v>
      </c>
      <c r="P5" s="1">
        <v>3</v>
      </c>
      <c r="Q5" s="1" t="s">
        <v>41</v>
      </c>
      <c r="R5" s="1">
        <v>0.03</v>
      </c>
      <c r="S5" s="1" t="s">
        <v>42</v>
      </c>
      <c r="T5" s="1">
        <v>0.09</v>
      </c>
      <c r="U5" s="1" t="s">
        <v>43</v>
      </c>
      <c r="V5" s="1">
        <v>1</v>
      </c>
      <c r="Y5" s="1">
        <v>2</v>
      </c>
      <c r="Z5" s="4">
        <v>1</v>
      </c>
      <c r="AB5" s="1">
        <v>0.85</v>
      </c>
      <c r="AC5" s="1">
        <v>10</v>
      </c>
      <c r="AD5" s="1">
        <v>244</v>
      </c>
    </row>
    <row r="6" spans="1:30">
      <c r="A6" s="5" t="s">
        <v>44</v>
      </c>
      <c r="B6" s="1" t="s">
        <v>45</v>
      </c>
      <c r="C6" s="2">
        <f t="shared" si="0"/>
        <v>19</v>
      </c>
      <c r="E6" s="3" t="s">
        <v>46</v>
      </c>
      <c r="F6" s="1" t="s">
        <v>40</v>
      </c>
      <c r="J6" s="1">
        <v>1.5E-3</v>
      </c>
      <c r="K6" s="1">
        <v>1.5</v>
      </c>
      <c r="N6" s="1">
        <v>500</v>
      </c>
      <c r="P6" s="1">
        <v>3</v>
      </c>
      <c r="Q6" s="1" t="s">
        <v>47</v>
      </c>
      <c r="R6" s="1">
        <v>5.0000000000000001E-3</v>
      </c>
      <c r="S6" s="1" t="s">
        <v>32</v>
      </c>
      <c r="T6" s="1">
        <v>9.5000000000000001E-2</v>
      </c>
      <c r="Y6" s="1">
        <v>5</v>
      </c>
      <c r="Z6" s="4">
        <v>1</v>
      </c>
      <c r="AB6" s="1">
        <v>1</v>
      </c>
      <c r="AC6" s="1">
        <v>15</v>
      </c>
      <c r="AD6" s="1">
        <v>259.8</v>
      </c>
    </row>
    <row r="7" spans="1:30">
      <c r="A7" s="5" t="s">
        <v>44</v>
      </c>
      <c r="B7" s="1" t="s">
        <v>45</v>
      </c>
      <c r="C7" s="2">
        <f t="shared" si="0"/>
        <v>32.333333333333336</v>
      </c>
      <c r="E7" s="3" t="s">
        <v>48</v>
      </c>
      <c r="F7" s="1" t="s">
        <v>40</v>
      </c>
      <c r="J7" s="1">
        <v>1.5E-3</v>
      </c>
      <c r="K7" s="1">
        <v>1.5</v>
      </c>
      <c r="N7" s="1">
        <v>500</v>
      </c>
      <c r="P7" s="1">
        <v>3</v>
      </c>
      <c r="Q7" s="1" t="s">
        <v>47</v>
      </c>
      <c r="R7" s="1">
        <v>3.0000000000000001E-3</v>
      </c>
      <c r="S7" s="1" t="s">
        <v>32</v>
      </c>
      <c r="T7" s="1">
        <v>9.7000000000000003E-2</v>
      </c>
      <c r="Y7" s="1">
        <v>5</v>
      </c>
      <c r="Z7" s="4">
        <v>1</v>
      </c>
      <c r="AB7" s="1">
        <v>1</v>
      </c>
      <c r="AC7" s="1">
        <v>15</v>
      </c>
      <c r="AD7" s="1">
        <v>272.7</v>
      </c>
    </row>
    <row r="8" spans="1:30">
      <c r="A8" s="5" t="s">
        <v>49</v>
      </c>
      <c r="B8" s="1" t="s">
        <v>45</v>
      </c>
      <c r="C8" s="2">
        <f t="shared" si="0"/>
        <v>99</v>
      </c>
      <c r="E8" s="3" t="s">
        <v>39</v>
      </c>
      <c r="F8" s="1" t="s">
        <v>40</v>
      </c>
      <c r="J8" s="1">
        <v>1.5E-3</v>
      </c>
      <c r="K8" s="1">
        <v>1.5</v>
      </c>
      <c r="N8" s="1">
        <v>500</v>
      </c>
      <c r="P8" s="1">
        <v>3</v>
      </c>
      <c r="Q8" s="1" t="s">
        <v>47</v>
      </c>
      <c r="R8" s="1">
        <v>1E-3</v>
      </c>
      <c r="S8" s="1" t="s">
        <v>32</v>
      </c>
      <c r="T8" s="1">
        <v>9.9000000000000005E-2</v>
      </c>
      <c r="Y8" s="1">
        <v>5</v>
      </c>
      <c r="Z8" s="4">
        <v>1</v>
      </c>
      <c r="AB8" s="1">
        <v>1</v>
      </c>
      <c r="AC8" s="1">
        <v>15</v>
      </c>
      <c r="AD8" s="1">
        <v>281.7</v>
      </c>
    </row>
    <row r="9" spans="1:30">
      <c r="A9" s="7" t="s">
        <v>50</v>
      </c>
      <c r="B9" s="1" t="s">
        <v>27</v>
      </c>
      <c r="C9" s="2">
        <f t="shared" si="0"/>
        <v>1</v>
      </c>
      <c r="D9" s="1" t="s">
        <v>28</v>
      </c>
      <c r="E9" s="3" t="s">
        <v>46</v>
      </c>
      <c r="F9" s="1" t="s">
        <v>51</v>
      </c>
      <c r="H9" s="1">
        <v>-0.2</v>
      </c>
      <c r="I9" s="1">
        <v>-1</v>
      </c>
      <c r="L9" s="1">
        <v>5</v>
      </c>
      <c r="M9" s="1">
        <v>40</v>
      </c>
      <c r="N9" s="1">
        <f>(H9-I9)*1000/L9*M9</f>
        <v>6400</v>
      </c>
      <c r="P9" s="1">
        <v>3</v>
      </c>
      <c r="Q9" s="3" t="s">
        <v>52</v>
      </c>
      <c r="R9" s="1">
        <v>1E-4</v>
      </c>
      <c r="S9" s="1" t="s">
        <v>42</v>
      </c>
      <c r="T9" s="1">
        <v>1E-4</v>
      </c>
      <c r="U9" s="1" t="s">
        <v>53</v>
      </c>
      <c r="V9" s="1">
        <v>5.0000000000000002E-5</v>
      </c>
      <c r="Y9" s="1">
        <v>3</v>
      </c>
      <c r="Z9" s="4">
        <v>1</v>
      </c>
      <c r="AC9" s="1">
        <v>10</v>
      </c>
      <c r="AD9" s="1">
        <v>285</v>
      </c>
    </row>
    <row r="10" spans="1:30">
      <c r="A10" s="5" t="s">
        <v>54</v>
      </c>
      <c r="B10" s="1" t="s">
        <v>55</v>
      </c>
      <c r="C10" s="2">
        <f t="shared" si="0"/>
        <v>2.5</v>
      </c>
      <c r="D10" s="1" t="s">
        <v>56</v>
      </c>
      <c r="E10" s="3" t="s">
        <v>57</v>
      </c>
      <c r="F10" s="1" t="s">
        <v>40</v>
      </c>
      <c r="J10" s="1">
        <v>8</v>
      </c>
      <c r="K10" s="1">
        <v>0.49</v>
      </c>
      <c r="N10" s="1">
        <v>120</v>
      </c>
      <c r="O10" s="1">
        <v>50</v>
      </c>
      <c r="P10" s="1">
        <v>2</v>
      </c>
      <c r="Q10" s="1" t="s">
        <v>31</v>
      </c>
      <c r="R10" s="2">
        <v>0.02</v>
      </c>
      <c r="S10" s="1" t="s">
        <v>58</v>
      </c>
      <c r="T10" s="2">
        <v>0.05</v>
      </c>
      <c r="U10" s="1" t="s">
        <v>59</v>
      </c>
      <c r="V10" s="1">
        <v>0.3</v>
      </c>
      <c r="Y10" s="1">
        <v>2.5</v>
      </c>
      <c r="Z10" s="4">
        <v>1</v>
      </c>
      <c r="AB10" s="1">
        <v>0.9</v>
      </c>
      <c r="AC10" s="1">
        <v>10</v>
      </c>
      <c r="AD10" s="1">
        <v>234</v>
      </c>
    </row>
    <row r="11" spans="1:30" ht="17.25">
      <c r="A11" s="8" t="s">
        <v>60</v>
      </c>
      <c r="B11" s="1" t="s">
        <v>61</v>
      </c>
      <c r="C11" s="2">
        <f t="shared" si="0"/>
        <v>1</v>
      </c>
      <c r="D11" s="1" t="s">
        <v>62</v>
      </c>
      <c r="E11" s="3" t="s">
        <v>29</v>
      </c>
      <c r="F11" s="1" t="s">
        <v>30</v>
      </c>
      <c r="G11" s="1">
        <v>-1</v>
      </c>
      <c r="K11" s="1">
        <v>1</v>
      </c>
      <c r="N11" s="1">
        <v>300</v>
      </c>
      <c r="P11" s="1">
        <v>3</v>
      </c>
      <c r="Q11" s="1" t="s">
        <v>47</v>
      </c>
      <c r="R11" s="1">
        <v>2.1600000000000001E-2</v>
      </c>
      <c r="S11" s="1" t="s">
        <v>32</v>
      </c>
      <c r="T11" s="1">
        <v>2.1600000000000001E-2</v>
      </c>
      <c r="U11" s="1" t="s">
        <v>63</v>
      </c>
      <c r="V11" s="1">
        <v>2.1600000000000001E-2</v>
      </c>
      <c r="Y11" s="1">
        <v>2.5</v>
      </c>
      <c r="Z11" s="4">
        <v>1</v>
      </c>
      <c r="AC11" s="1">
        <v>20</v>
      </c>
      <c r="AD11" s="1">
        <v>297</v>
      </c>
    </row>
    <row r="12" spans="1:30">
      <c r="A12" s="6" t="s">
        <v>64</v>
      </c>
      <c r="B12" s="1" t="s">
        <v>65</v>
      </c>
      <c r="C12" s="2">
        <f t="shared" si="0"/>
        <v>1</v>
      </c>
      <c r="D12" s="1" t="s">
        <v>66</v>
      </c>
      <c r="E12" s="1" t="s">
        <v>67</v>
      </c>
      <c r="F12" s="1" t="s">
        <v>51</v>
      </c>
      <c r="H12" s="1">
        <v>-1.2</v>
      </c>
      <c r="I12" s="1">
        <v>0.2</v>
      </c>
      <c r="K12" s="1">
        <v>1</v>
      </c>
      <c r="L12" s="1">
        <v>5</v>
      </c>
      <c r="M12" s="1">
        <v>8</v>
      </c>
      <c r="N12" s="1">
        <f t="shared" ref="N12:N19" si="1">(I12-H12)*1000/L12*M12</f>
        <v>2240</v>
      </c>
      <c r="P12" s="1">
        <v>3</v>
      </c>
      <c r="Q12" s="1" t="s">
        <v>41</v>
      </c>
      <c r="R12" s="1">
        <v>3.0000000000000001E-3</v>
      </c>
      <c r="S12" s="1" t="s">
        <v>42</v>
      </c>
      <c r="T12" s="1">
        <v>3.0000000000000001E-3</v>
      </c>
      <c r="U12" s="1" t="s">
        <v>68</v>
      </c>
      <c r="V12" s="1">
        <v>5.9999999999999995E-4</v>
      </c>
      <c r="Y12" s="1">
        <v>3</v>
      </c>
      <c r="Z12" s="4">
        <v>1</v>
      </c>
      <c r="AB12" s="1">
        <v>0.95</v>
      </c>
      <c r="AC12" s="1">
        <v>20</v>
      </c>
      <c r="AD12" s="1">
        <v>230</v>
      </c>
    </row>
    <row r="13" spans="1:30">
      <c r="A13" s="6" t="s">
        <v>69</v>
      </c>
      <c r="B13" s="1" t="s">
        <v>65</v>
      </c>
      <c r="C13" s="2">
        <f t="shared" si="0"/>
        <v>1</v>
      </c>
      <c r="D13" s="1" t="s">
        <v>66</v>
      </c>
      <c r="E13" s="1" t="s">
        <v>67</v>
      </c>
      <c r="F13" s="1" t="s">
        <v>51</v>
      </c>
      <c r="H13" s="1">
        <v>-1.2</v>
      </c>
      <c r="I13" s="1">
        <v>0.2</v>
      </c>
      <c r="K13" s="1">
        <v>1</v>
      </c>
      <c r="L13" s="1">
        <v>5</v>
      </c>
      <c r="M13" s="1">
        <v>8</v>
      </c>
      <c r="N13" s="1">
        <f t="shared" si="1"/>
        <v>2240</v>
      </c>
      <c r="P13" s="1">
        <v>3</v>
      </c>
      <c r="Q13" s="1" t="s">
        <v>41</v>
      </c>
      <c r="R13" s="1">
        <v>3.0000000000000001E-3</v>
      </c>
      <c r="S13" s="1" t="s">
        <v>42</v>
      </c>
      <c r="T13" s="1">
        <v>3.0000000000000001E-3</v>
      </c>
      <c r="U13" s="1" t="s">
        <v>68</v>
      </c>
      <c r="V13" s="1">
        <v>2.9999999999999997E-4</v>
      </c>
      <c r="Y13" s="1">
        <v>3</v>
      </c>
      <c r="Z13" s="4">
        <v>1</v>
      </c>
      <c r="AB13" s="1">
        <v>0.95</v>
      </c>
      <c r="AC13" s="1">
        <v>20</v>
      </c>
      <c r="AD13" s="1">
        <v>240</v>
      </c>
    </row>
    <row r="14" spans="1:30">
      <c r="A14" s="6" t="s">
        <v>69</v>
      </c>
      <c r="B14" s="1" t="s">
        <v>65</v>
      </c>
      <c r="C14" s="2">
        <f t="shared" si="0"/>
        <v>1</v>
      </c>
      <c r="D14" s="1" t="s">
        <v>66</v>
      </c>
      <c r="E14" s="1" t="s">
        <v>67</v>
      </c>
      <c r="F14" s="1" t="s">
        <v>51</v>
      </c>
      <c r="H14" s="1">
        <v>-1.2</v>
      </c>
      <c r="I14" s="1">
        <v>0.2</v>
      </c>
      <c r="K14" s="1">
        <v>1</v>
      </c>
      <c r="L14" s="1">
        <v>5</v>
      </c>
      <c r="M14" s="1">
        <v>8</v>
      </c>
      <c r="N14" s="1">
        <f t="shared" si="1"/>
        <v>2240</v>
      </c>
      <c r="P14" s="1">
        <v>3</v>
      </c>
      <c r="Q14" s="1" t="s">
        <v>41</v>
      </c>
      <c r="R14" s="1">
        <v>3.0000000000000001E-3</v>
      </c>
      <c r="S14" s="1" t="s">
        <v>42</v>
      </c>
      <c r="T14" s="1">
        <v>3.0000000000000001E-3</v>
      </c>
      <c r="U14" s="1" t="s">
        <v>68</v>
      </c>
      <c r="V14" s="1">
        <v>8.9999999999999998E-4</v>
      </c>
      <c r="Y14" s="1">
        <v>3</v>
      </c>
      <c r="Z14" s="4">
        <v>1</v>
      </c>
      <c r="AB14" s="1">
        <v>0.95</v>
      </c>
      <c r="AC14" s="1">
        <v>20</v>
      </c>
      <c r="AD14" s="1">
        <v>242</v>
      </c>
    </row>
    <row r="15" spans="1:30">
      <c r="A15" s="6" t="s">
        <v>69</v>
      </c>
      <c r="B15" s="1" t="s">
        <v>65</v>
      </c>
      <c r="C15" s="2">
        <f t="shared" si="0"/>
        <v>1</v>
      </c>
      <c r="D15" s="1" t="s">
        <v>66</v>
      </c>
      <c r="E15" s="1" t="s">
        <v>67</v>
      </c>
      <c r="F15" s="1" t="s">
        <v>51</v>
      </c>
      <c r="H15" s="1">
        <v>-1.2</v>
      </c>
      <c r="I15" s="1">
        <v>0.2</v>
      </c>
      <c r="K15" s="1">
        <v>1</v>
      </c>
      <c r="L15" s="1">
        <v>5</v>
      </c>
      <c r="M15" s="1">
        <v>8</v>
      </c>
      <c r="N15" s="1">
        <f t="shared" si="1"/>
        <v>2240</v>
      </c>
      <c r="P15" s="1">
        <v>3</v>
      </c>
      <c r="Q15" s="1" t="s">
        <v>41</v>
      </c>
      <c r="R15" s="1">
        <v>3.0000000000000001E-3</v>
      </c>
      <c r="S15" s="1" t="s">
        <v>42</v>
      </c>
      <c r="T15" s="1">
        <v>3.0000000000000001E-3</v>
      </c>
      <c r="U15" s="1" t="s">
        <v>68</v>
      </c>
      <c r="V15" s="1">
        <v>5.9999999999999995E-4</v>
      </c>
      <c r="Y15" s="1">
        <v>3</v>
      </c>
      <c r="Z15" s="4">
        <v>1</v>
      </c>
      <c r="AB15" s="1">
        <v>0.95</v>
      </c>
      <c r="AC15" s="1">
        <v>50</v>
      </c>
      <c r="AD15" s="1">
        <v>251</v>
      </c>
    </row>
    <row r="16" spans="1:30">
      <c r="A16" s="6" t="s">
        <v>69</v>
      </c>
      <c r="B16" s="1" t="s">
        <v>65</v>
      </c>
      <c r="C16" s="2">
        <f t="shared" si="0"/>
        <v>1</v>
      </c>
      <c r="D16" s="1" t="s">
        <v>66</v>
      </c>
      <c r="E16" s="1" t="s">
        <v>67</v>
      </c>
      <c r="F16" s="1" t="s">
        <v>51</v>
      </c>
      <c r="H16" s="1">
        <v>-1.2</v>
      </c>
      <c r="I16" s="1">
        <v>0.2</v>
      </c>
      <c r="K16" s="1">
        <v>1</v>
      </c>
      <c r="L16" s="1">
        <v>5</v>
      </c>
      <c r="M16" s="1">
        <v>8</v>
      </c>
      <c r="N16" s="1">
        <f t="shared" si="1"/>
        <v>2240</v>
      </c>
      <c r="P16" s="1">
        <v>3</v>
      </c>
      <c r="Q16" s="1" t="s">
        <v>41</v>
      </c>
      <c r="R16" s="1">
        <v>3.0000000000000001E-3</v>
      </c>
      <c r="S16" s="1" t="s">
        <v>42</v>
      </c>
      <c r="T16" s="1">
        <v>3.0000000000000001E-3</v>
      </c>
      <c r="U16" s="1" t="s">
        <v>68</v>
      </c>
      <c r="V16" s="1">
        <v>2.9999999999999997E-4</v>
      </c>
      <c r="Y16" s="1">
        <v>3</v>
      </c>
      <c r="Z16" s="4">
        <v>1</v>
      </c>
      <c r="AB16" s="1">
        <v>0.95</v>
      </c>
      <c r="AC16" s="1">
        <v>50</v>
      </c>
      <c r="AD16" s="1">
        <v>260</v>
      </c>
    </row>
    <row r="17" spans="1:30">
      <c r="A17" s="6" t="s">
        <v>69</v>
      </c>
      <c r="B17" s="1" t="s">
        <v>65</v>
      </c>
      <c r="C17" s="2">
        <f t="shared" si="0"/>
        <v>1</v>
      </c>
      <c r="D17" s="1" t="s">
        <v>66</v>
      </c>
      <c r="E17" s="1" t="s">
        <v>67</v>
      </c>
      <c r="F17" s="1" t="s">
        <v>51</v>
      </c>
      <c r="H17" s="1">
        <v>-1.2</v>
      </c>
      <c r="I17" s="1">
        <v>0.2</v>
      </c>
      <c r="K17" s="1">
        <v>1</v>
      </c>
      <c r="L17" s="1">
        <v>5</v>
      </c>
      <c r="M17" s="1">
        <v>8</v>
      </c>
      <c r="N17" s="1">
        <f t="shared" si="1"/>
        <v>2240</v>
      </c>
      <c r="P17" s="1">
        <v>3</v>
      </c>
      <c r="Q17" s="1" t="s">
        <v>41</v>
      </c>
      <c r="R17" s="1">
        <v>3.0000000000000001E-3</v>
      </c>
      <c r="S17" s="1" t="s">
        <v>42</v>
      </c>
      <c r="T17" s="1">
        <v>3.0000000000000001E-3</v>
      </c>
      <c r="U17" s="1" t="s">
        <v>68</v>
      </c>
      <c r="V17" s="1">
        <v>1.1999999999999999E-3</v>
      </c>
      <c r="Y17" s="1">
        <v>3</v>
      </c>
      <c r="Z17" s="4">
        <v>1</v>
      </c>
      <c r="AB17" s="1">
        <v>0.95</v>
      </c>
      <c r="AC17" s="1">
        <v>20</v>
      </c>
      <c r="AD17" s="1">
        <v>262</v>
      </c>
    </row>
    <row r="18" spans="1:30">
      <c r="A18" s="6" t="s">
        <v>69</v>
      </c>
      <c r="B18" s="1" t="s">
        <v>65</v>
      </c>
      <c r="C18" s="2">
        <f t="shared" si="0"/>
        <v>1</v>
      </c>
      <c r="D18" s="1" t="s">
        <v>66</v>
      </c>
      <c r="E18" s="1" t="s">
        <v>67</v>
      </c>
      <c r="F18" s="1" t="s">
        <v>51</v>
      </c>
      <c r="H18" s="1">
        <v>-1.2</v>
      </c>
      <c r="I18" s="1">
        <v>0.2</v>
      </c>
      <c r="K18" s="1">
        <v>1</v>
      </c>
      <c r="L18" s="1">
        <v>5</v>
      </c>
      <c r="M18" s="1">
        <v>8</v>
      </c>
      <c r="N18" s="1">
        <f t="shared" si="1"/>
        <v>2240</v>
      </c>
      <c r="P18" s="1">
        <v>3</v>
      </c>
      <c r="Q18" s="1" t="s">
        <v>41</v>
      </c>
      <c r="R18" s="1">
        <v>3.0000000000000001E-3</v>
      </c>
      <c r="S18" s="1" t="s">
        <v>42</v>
      </c>
      <c r="T18" s="1">
        <v>3.0000000000000001E-3</v>
      </c>
      <c r="U18" s="1" t="s">
        <v>68</v>
      </c>
      <c r="V18" s="1">
        <v>8.9999999999999998E-4</v>
      </c>
      <c r="Y18" s="1">
        <v>3</v>
      </c>
      <c r="Z18" s="4">
        <v>1</v>
      </c>
      <c r="AB18" s="1">
        <v>0.95</v>
      </c>
      <c r="AC18" s="1">
        <v>50</v>
      </c>
      <c r="AD18" s="1">
        <v>266</v>
      </c>
    </row>
    <row r="19" spans="1:30">
      <c r="A19" s="6" t="s">
        <v>69</v>
      </c>
      <c r="B19" s="1" t="s">
        <v>65</v>
      </c>
      <c r="C19" s="2">
        <f t="shared" si="0"/>
        <v>1</v>
      </c>
      <c r="D19" s="1" t="s">
        <v>66</v>
      </c>
      <c r="E19" s="1" t="s">
        <v>67</v>
      </c>
      <c r="F19" s="1" t="s">
        <v>51</v>
      </c>
      <c r="H19" s="1">
        <v>-1.2</v>
      </c>
      <c r="I19" s="1">
        <v>0.2</v>
      </c>
      <c r="K19" s="1">
        <v>1</v>
      </c>
      <c r="L19" s="1">
        <v>5</v>
      </c>
      <c r="M19" s="1">
        <v>8</v>
      </c>
      <c r="N19" s="1">
        <f t="shared" si="1"/>
        <v>2240</v>
      </c>
      <c r="P19" s="1">
        <v>3</v>
      </c>
      <c r="Q19" s="1" t="s">
        <v>41</v>
      </c>
      <c r="R19" s="1">
        <v>3.0000000000000001E-3</v>
      </c>
      <c r="S19" s="1" t="s">
        <v>42</v>
      </c>
      <c r="T19" s="1">
        <v>3.0000000000000001E-3</v>
      </c>
      <c r="U19" s="1" t="s">
        <v>68</v>
      </c>
      <c r="V19" s="1">
        <v>1.1999999999999999E-3</v>
      </c>
      <c r="Y19" s="1">
        <v>3</v>
      </c>
      <c r="Z19" s="4">
        <v>1</v>
      </c>
      <c r="AB19" s="1">
        <v>0.95</v>
      </c>
      <c r="AC19" s="1">
        <v>50</v>
      </c>
      <c r="AD19" s="1">
        <v>281</v>
      </c>
    </row>
    <row r="20" spans="1:30">
      <c r="A20" s="5" t="s">
        <v>70</v>
      </c>
      <c r="B20" s="1" t="s">
        <v>65</v>
      </c>
      <c r="C20" s="2">
        <f t="shared" si="0"/>
        <v>19.791666666666668</v>
      </c>
      <c r="D20" s="1" t="s">
        <v>66</v>
      </c>
      <c r="E20" s="1" t="s">
        <v>67</v>
      </c>
      <c r="F20" s="1" t="s">
        <v>40</v>
      </c>
      <c r="J20" s="1">
        <v>0.6</v>
      </c>
      <c r="K20" s="1">
        <v>1</v>
      </c>
      <c r="N20" s="1">
        <v>120</v>
      </c>
      <c r="O20" s="1">
        <v>30</v>
      </c>
      <c r="P20" s="1">
        <v>2</v>
      </c>
      <c r="Q20" s="1" t="s">
        <v>31</v>
      </c>
      <c r="R20" s="1">
        <v>1.9199999999999998E-2</v>
      </c>
      <c r="S20" s="1" t="s">
        <v>58</v>
      </c>
      <c r="T20" s="1">
        <v>0.38</v>
      </c>
      <c r="U20" s="1" t="s">
        <v>68</v>
      </c>
      <c r="V20" s="1">
        <v>8.3000000000000004E-2</v>
      </c>
      <c r="Y20" s="1">
        <v>4</v>
      </c>
      <c r="Z20" s="4">
        <v>0.3</v>
      </c>
      <c r="AC20" s="1">
        <v>10</v>
      </c>
      <c r="AD20" s="1">
        <v>306</v>
      </c>
    </row>
    <row r="21" spans="1:30">
      <c r="A21" s="9" t="s">
        <v>71</v>
      </c>
      <c r="B21" s="1" t="s">
        <v>72</v>
      </c>
      <c r="C21" s="2">
        <f t="shared" si="0"/>
        <v>2</v>
      </c>
      <c r="D21" s="1" t="s">
        <v>73</v>
      </c>
      <c r="E21" s="1" t="s">
        <v>67</v>
      </c>
      <c r="F21" s="1" t="s">
        <v>74</v>
      </c>
      <c r="J21" s="1">
        <v>0.05</v>
      </c>
      <c r="K21" s="1">
        <v>1</v>
      </c>
      <c r="N21" s="1">
        <v>400</v>
      </c>
      <c r="P21" s="1">
        <v>3</v>
      </c>
      <c r="Q21" s="1" t="s">
        <v>75</v>
      </c>
      <c r="R21" s="1">
        <v>1.4999999999999999E-2</v>
      </c>
      <c r="S21" s="1" t="s">
        <v>76</v>
      </c>
      <c r="T21" s="1">
        <v>0.03</v>
      </c>
      <c r="U21" s="1" t="s">
        <v>77</v>
      </c>
      <c r="V21" s="1">
        <v>0.02</v>
      </c>
      <c r="Y21" s="1">
        <v>10</v>
      </c>
      <c r="Z21" s="4">
        <v>1</v>
      </c>
      <c r="AB21" s="1">
        <v>1</v>
      </c>
      <c r="AC21" s="1">
        <v>10</v>
      </c>
      <c r="AD21" s="1">
        <v>269</v>
      </c>
    </row>
    <row r="22" spans="1:30">
      <c r="A22" s="10" t="s">
        <v>78</v>
      </c>
      <c r="B22" s="1" t="s">
        <v>72</v>
      </c>
      <c r="C22" s="2">
        <f t="shared" si="0"/>
        <v>1.5</v>
      </c>
      <c r="D22" s="1" t="s">
        <v>79</v>
      </c>
      <c r="E22" s="1" t="s">
        <v>67</v>
      </c>
      <c r="F22" s="1" t="s">
        <v>80</v>
      </c>
      <c r="J22" s="1">
        <v>0.05</v>
      </c>
      <c r="K22" s="1">
        <v>1</v>
      </c>
      <c r="N22" s="1">
        <v>400</v>
      </c>
      <c r="P22" s="1">
        <v>3</v>
      </c>
      <c r="Q22" s="1" t="s">
        <v>81</v>
      </c>
      <c r="R22" s="1">
        <v>0.02</v>
      </c>
      <c r="S22" s="1" t="s">
        <v>82</v>
      </c>
      <c r="T22" s="1">
        <v>0.03</v>
      </c>
      <c r="U22" s="1" t="s">
        <v>77</v>
      </c>
      <c r="V22" s="1">
        <v>0.02</v>
      </c>
      <c r="Y22" s="1">
        <v>10</v>
      </c>
      <c r="Z22" s="4">
        <v>1</v>
      </c>
      <c r="AB22" s="1">
        <v>1</v>
      </c>
      <c r="AC22" s="1">
        <v>10</v>
      </c>
      <c r="AD22" s="1">
        <v>275</v>
      </c>
    </row>
    <row r="23" spans="1:30">
      <c r="A23" s="10" t="s">
        <v>78</v>
      </c>
      <c r="B23" s="1" t="s">
        <v>72</v>
      </c>
      <c r="C23" s="2">
        <f t="shared" si="0"/>
        <v>2.5</v>
      </c>
      <c r="D23" s="1" t="s">
        <v>79</v>
      </c>
      <c r="E23" s="1" t="s">
        <v>67</v>
      </c>
      <c r="F23" s="1" t="s">
        <v>83</v>
      </c>
      <c r="J23" s="1">
        <v>0.05</v>
      </c>
      <c r="K23" s="1">
        <v>1</v>
      </c>
      <c r="N23" s="1">
        <v>400</v>
      </c>
      <c r="P23" s="1">
        <v>3</v>
      </c>
      <c r="Q23" s="1" t="s">
        <v>84</v>
      </c>
      <c r="R23" s="1">
        <v>1.2E-2</v>
      </c>
      <c r="S23" s="1" t="s">
        <v>76</v>
      </c>
      <c r="T23" s="1">
        <v>0.03</v>
      </c>
      <c r="U23" s="1" t="s">
        <v>85</v>
      </c>
      <c r="V23" s="1">
        <v>0.02</v>
      </c>
      <c r="Y23" s="1">
        <v>10</v>
      </c>
      <c r="Z23" s="4">
        <v>1</v>
      </c>
      <c r="AB23" s="1">
        <v>1</v>
      </c>
      <c r="AC23" s="1">
        <v>10</v>
      </c>
      <c r="AD23" s="1">
        <v>276</v>
      </c>
    </row>
    <row r="24" spans="1:30">
      <c r="A24" s="5" t="s">
        <v>86</v>
      </c>
      <c r="B24" s="1" t="s">
        <v>45</v>
      </c>
      <c r="C24" s="2">
        <f t="shared" si="0"/>
        <v>1.6666666666666667</v>
      </c>
      <c r="E24" s="3" t="s">
        <v>87</v>
      </c>
      <c r="F24" s="1" t="s">
        <v>40</v>
      </c>
      <c r="J24" s="1">
        <v>0.03</v>
      </c>
      <c r="N24" s="1">
        <v>300</v>
      </c>
      <c r="P24" s="1">
        <v>2</v>
      </c>
      <c r="Q24" s="1" t="s">
        <v>31</v>
      </c>
      <c r="R24" s="1">
        <v>2.9999999999999997E-4</v>
      </c>
      <c r="S24" s="1" t="s">
        <v>58</v>
      </c>
      <c r="T24" s="1">
        <v>5.0000000000000001E-4</v>
      </c>
      <c r="Y24" s="1">
        <v>1</v>
      </c>
      <c r="Z24" s="4">
        <v>1</v>
      </c>
      <c r="AB24" s="1">
        <v>1</v>
      </c>
      <c r="AC24" s="1">
        <v>10</v>
      </c>
      <c r="AD24" s="1">
        <v>256</v>
      </c>
    </row>
    <row r="25" spans="1:30">
      <c r="A25" s="11" t="s">
        <v>88</v>
      </c>
      <c r="B25" s="1" t="s">
        <v>89</v>
      </c>
      <c r="C25" s="2">
        <f t="shared" si="0"/>
        <v>4.2222222222222223</v>
      </c>
      <c r="D25" s="1" t="s">
        <v>90</v>
      </c>
      <c r="E25" s="3" t="s">
        <v>87</v>
      </c>
      <c r="F25" s="1" t="s">
        <v>40</v>
      </c>
      <c r="J25" s="1">
        <v>0.02</v>
      </c>
      <c r="K25" s="1">
        <v>1</v>
      </c>
      <c r="N25" s="1">
        <v>3600</v>
      </c>
      <c r="O25" s="1">
        <v>40</v>
      </c>
      <c r="P25" s="1">
        <v>2</v>
      </c>
      <c r="Q25" s="1" t="s">
        <v>31</v>
      </c>
      <c r="R25" s="1">
        <v>0.09</v>
      </c>
      <c r="S25" s="1" t="s">
        <v>58</v>
      </c>
      <c r="T25" s="1">
        <v>0.38</v>
      </c>
      <c r="U25" s="1" t="s">
        <v>91</v>
      </c>
      <c r="V25" s="1">
        <v>4.4299999999999999E-2</v>
      </c>
      <c r="Y25" s="1">
        <v>4</v>
      </c>
      <c r="Z25" s="4">
        <v>0.3</v>
      </c>
      <c r="AC25" s="1">
        <v>10</v>
      </c>
      <c r="AD25" s="1">
        <v>261</v>
      </c>
    </row>
    <row r="26" spans="1:30">
      <c r="A26" s="6" t="s">
        <v>92</v>
      </c>
      <c r="B26" s="1" t="s">
        <v>45</v>
      </c>
      <c r="C26" s="2">
        <f t="shared" si="0"/>
        <v>6.666666666666667</v>
      </c>
      <c r="E26" s="1" t="s">
        <v>93</v>
      </c>
      <c r="F26" s="1" t="s">
        <v>40</v>
      </c>
      <c r="J26" s="1">
        <v>0.04</v>
      </c>
      <c r="K26" s="1">
        <v>4</v>
      </c>
      <c r="N26" s="1">
        <v>600</v>
      </c>
      <c r="O26" s="1">
        <v>60</v>
      </c>
      <c r="P26" s="1">
        <v>2</v>
      </c>
      <c r="Q26" s="1" t="s">
        <v>94</v>
      </c>
      <c r="R26" s="1">
        <v>0.15</v>
      </c>
      <c r="S26" s="1" t="s">
        <v>42</v>
      </c>
      <c r="T26" s="1">
        <v>1</v>
      </c>
      <c r="Y26" s="1">
        <v>2.5</v>
      </c>
      <c r="Z26" s="4">
        <v>1</v>
      </c>
      <c r="AC26" s="1">
        <v>10</v>
      </c>
      <c r="AD26" s="1">
        <v>292</v>
      </c>
    </row>
    <row r="27" spans="1:30">
      <c r="A27" s="6" t="s">
        <v>92</v>
      </c>
      <c r="B27" s="1" t="s">
        <v>45</v>
      </c>
      <c r="C27" s="2">
        <f t="shared" si="0"/>
        <v>5</v>
      </c>
      <c r="E27" s="1" t="s">
        <v>93</v>
      </c>
      <c r="F27" s="1" t="s">
        <v>40</v>
      </c>
      <c r="J27" s="1">
        <v>0.04</v>
      </c>
      <c r="K27" s="1">
        <v>4</v>
      </c>
      <c r="N27" s="1">
        <v>600</v>
      </c>
      <c r="O27" s="1">
        <v>60</v>
      </c>
      <c r="P27" s="1">
        <v>2</v>
      </c>
      <c r="Q27" s="1" t="s">
        <v>94</v>
      </c>
      <c r="R27" s="1">
        <v>0.2</v>
      </c>
      <c r="S27" s="1" t="s">
        <v>42</v>
      </c>
      <c r="T27" s="1">
        <v>1</v>
      </c>
      <c r="Y27" s="1">
        <v>2.5</v>
      </c>
      <c r="Z27" s="4">
        <v>1</v>
      </c>
      <c r="AC27" s="1">
        <v>10</v>
      </c>
      <c r="AD27" s="1">
        <v>307</v>
      </c>
    </row>
    <row r="28" spans="1:30">
      <c r="A28" s="5" t="s">
        <v>95</v>
      </c>
      <c r="B28" s="1" t="s">
        <v>96</v>
      </c>
      <c r="C28" s="2">
        <f t="shared" si="0"/>
        <v>2.9583333333333335</v>
      </c>
      <c r="D28" s="1" t="s">
        <v>97</v>
      </c>
      <c r="E28" s="3" t="s">
        <v>98</v>
      </c>
      <c r="F28" s="1" t="s">
        <v>40</v>
      </c>
      <c r="J28" s="1">
        <v>0.04</v>
      </c>
      <c r="K28" s="1">
        <v>1</v>
      </c>
      <c r="N28" s="1">
        <v>3600</v>
      </c>
      <c r="O28" s="1">
        <v>40</v>
      </c>
      <c r="P28" s="1">
        <v>2</v>
      </c>
      <c r="Q28" s="1" t="s">
        <v>31</v>
      </c>
      <c r="R28" s="1">
        <v>3.5999999999999997E-2</v>
      </c>
      <c r="S28" s="1" t="s">
        <v>58</v>
      </c>
      <c r="T28" s="1">
        <v>0.1065</v>
      </c>
      <c r="U28" s="1" t="s">
        <v>99</v>
      </c>
      <c r="V28" s="1">
        <v>0.66</v>
      </c>
      <c r="Y28" s="1">
        <v>8</v>
      </c>
      <c r="Z28" s="4">
        <v>0.3</v>
      </c>
      <c r="AC28" s="1">
        <v>10</v>
      </c>
      <c r="AD28" s="1">
        <v>309</v>
      </c>
    </row>
    <row r="29" spans="1:30">
      <c r="A29" s="6" t="s">
        <v>92</v>
      </c>
      <c r="B29" s="1" t="s">
        <v>45</v>
      </c>
      <c r="C29" s="2">
        <f t="shared" si="0"/>
        <v>10</v>
      </c>
      <c r="E29" s="1" t="s">
        <v>93</v>
      </c>
      <c r="F29" s="1" t="s">
        <v>40</v>
      </c>
      <c r="J29" s="1">
        <v>0.04</v>
      </c>
      <c r="K29" s="1">
        <v>4</v>
      </c>
      <c r="N29" s="1">
        <v>600</v>
      </c>
      <c r="O29" s="1">
        <v>60</v>
      </c>
      <c r="P29" s="1">
        <v>2</v>
      </c>
      <c r="Q29" s="1" t="s">
        <v>94</v>
      </c>
      <c r="R29" s="1">
        <v>0.1</v>
      </c>
      <c r="S29" s="1" t="s">
        <v>42</v>
      </c>
      <c r="T29" s="1">
        <v>1</v>
      </c>
      <c r="Y29" s="1">
        <v>2.5</v>
      </c>
      <c r="Z29" s="4">
        <v>1</v>
      </c>
      <c r="AC29" s="1">
        <v>10</v>
      </c>
      <c r="AD29" s="1">
        <v>311</v>
      </c>
    </row>
    <row r="30" spans="1:30">
      <c r="A30" s="5" t="s">
        <v>86</v>
      </c>
      <c r="B30" s="1" t="s">
        <v>45</v>
      </c>
      <c r="C30" s="2">
        <f t="shared" si="0"/>
        <v>0.6</v>
      </c>
      <c r="E30" s="3" t="s">
        <v>87</v>
      </c>
      <c r="F30" s="1" t="s">
        <v>40</v>
      </c>
      <c r="J30" s="1">
        <v>0.03</v>
      </c>
      <c r="N30" s="1">
        <v>300</v>
      </c>
      <c r="P30" s="1">
        <v>2</v>
      </c>
      <c r="Q30" s="1" t="s">
        <v>31</v>
      </c>
      <c r="R30" s="1">
        <v>5.0000000000000001E-4</v>
      </c>
      <c r="S30" s="1" t="s">
        <v>58</v>
      </c>
      <c r="T30" s="1">
        <v>2.9999999999999997E-4</v>
      </c>
      <c r="Y30" s="1">
        <v>1</v>
      </c>
      <c r="Z30" s="4">
        <v>1</v>
      </c>
      <c r="AB30" s="1">
        <v>1</v>
      </c>
      <c r="AC30" s="1">
        <v>10</v>
      </c>
      <c r="AD30" s="1">
        <v>312</v>
      </c>
    </row>
    <row r="31" spans="1:30">
      <c r="A31" s="6" t="s">
        <v>92</v>
      </c>
      <c r="B31" s="1" t="s">
        <v>45</v>
      </c>
      <c r="C31" s="2">
        <f t="shared" si="0"/>
        <v>20</v>
      </c>
      <c r="E31" s="1" t="s">
        <v>93</v>
      </c>
      <c r="F31" s="1" t="s">
        <v>40</v>
      </c>
      <c r="J31" s="1">
        <v>0.04</v>
      </c>
      <c r="K31" s="1">
        <v>4</v>
      </c>
      <c r="N31" s="1">
        <v>600</v>
      </c>
      <c r="O31" s="1">
        <v>60</v>
      </c>
      <c r="P31" s="1">
        <v>2</v>
      </c>
      <c r="Q31" s="1" t="s">
        <v>94</v>
      </c>
      <c r="R31" s="1">
        <v>0.05</v>
      </c>
      <c r="S31" s="1" t="s">
        <v>42</v>
      </c>
      <c r="T31" s="1">
        <v>1</v>
      </c>
      <c r="Y31" s="1">
        <v>2.5</v>
      </c>
      <c r="Z31" s="4">
        <v>1</v>
      </c>
      <c r="AC31" s="1">
        <v>10</v>
      </c>
      <c r="AD31" s="1">
        <v>314</v>
      </c>
    </row>
    <row r="32" spans="1:30">
      <c r="A32" s="6" t="s">
        <v>92</v>
      </c>
      <c r="B32" s="1" t="s">
        <v>45</v>
      </c>
      <c r="C32" s="2">
        <f t="shared" si="0"/>
        <v>6.666666666666667</v>
      </c>
      <c r="E32" s="1" t="s">
        <v>93</v>
      </c>
      <c r="F32" s="1" t="s">
        <v>40</v>
      </c>
      <c r="J32" s="1">
        <v>0.04</v>
      </c>
      <c r="K32" s="1">
        <v>4</v>
      </c>
      <c r="N32" s="1">
        <v>600</v>
      </c>
      <c r="O32" s="1">
        <v>60</v>
      </c>
      <c r="P32" s="1">
        <v>2</v>
      </c>
      <c r="Q32" s="1" t="s">
        <v>94</v>
      </c>
      <c r="R32" s="1">
        <v>0.15</v>
      </c>
      <c r="S32" s="1" t="s">
        <v>42</v>
      </c>
      <c r="T32" s="1">
        <v>1</v>
      </c>
      <c r="Y32" s="1">
        <v>2.5</v>
      </c>
      <c r="Z32" s="4">
        <v>1</v>
      </c>
      <c r="AC32" s="1">
        <v>20</v>
      </c>
      <c r="AD32" s="1">
        <v>318</v>
      </c>
    </row>
    <row r="33" spans="1:30">
      <c r="A33" s="5" t="s">
        <v>86</v>
      </c>
      <c r="B33" s="1" t="s">
        <v>45</v>
      </c>
      <c r="C33" s="2">
        <f t="shared" si="0"/>
        <v>7</v>
      </c>
      <c r="E33" s="3" t="s">
        <v>87</v>
      </c>
      <c r="F33" s="1" t="s">
        <v>40</v>
      </c>
      <c r="J33" s="1">
        <v>0.03</v>
      </c>
      <c r="N33" s="1">
        <v>300</v>
      </c>
      <c r="P33" s="1">
        <v>2</v>
      </c>
      <c r="Q33" s="1" t="s">
        <v>31</v>
      </c>
      <c r="R33" s="1">
        <v>1E-4</v>
      </c>
      <c r="S33" s="1" t="s">
        <v>58</v>
      </c>
      <c r="T33" s="1">
        <v>6.9999999999999999E-4</v>
      </c>
      <c r="Y33" s="1">
        <v>1</v>
      </c>
      <c r="Z33" s="4">
        <v>1</v>
      </c>
      <c r="AB33" s="1">
        <v>1</v>
      </c>
      <c r="AC33" s="1">
        <v>10</v>
      </c>
      <c r="AD33" s="1">
        <v>321</v>
      </c>
    </row>
    <row r="34" spans="1:30">
      <c r="A34" s="6" t="s">
        <v>92</v>
      </c>
      <c r="B34" s="1" t="s">
        <v>45</v>
      </c>
      <c r="C34" s="2">
        <f t="shared" si="0"/>
        <v>5</v>
      </c>
      <c r="E34" s="1" t="s">
        <v>93</v>
      </c>
      <c r="F34" s="1" t="s">
        <v>40</v>
      </c>
      <c r="J34" s="1">
        <v>0.04</v>
      </c>
      <c r="K34" s="1">
        <v>4</v>
      </c>
      <c r="N34" s="1">
        <v>600</v>
      </c>
      <c r="O34" s="1">
        <v>60</v>
      </c>
      <c r="P34" s="1">
        <v>2</v>
      </c>
      <c r="Q34" s="1" t="s">
        <v>94</v>
      </c>
      <c r="R34" s="1">
        <v>0.2</v>
      </c>
      <c r="S34" s="1" t="s">
        <v>42</v>
      </c>
      <c r="T34" s="1">
        <v>1</v>
      </c>
      <c r="Y34" s="1">
        <v>2.5</v>
      </c>
      <c r="Z34" s="4">
        <v>1</v>
      </c>
      <c r="AC34" s="1">
        <v>20</v>
      </c>
      <c r="AD34" s="1">
        <v>328</v>
      </c>
    </row>
    <row r="35" spans="1:30">
      <c r="A35" s="6" t="s">
        <v>92</v>
      </c>
      <c r="B35" s="1" t="s">
        <v>45</v>
      </c>
      <c r="C35" s="2">
        <f t="shared" si="0"/>
        <v>10</v>
      </c>
      <c r="E35" s="1" t="s">
        <v>93</v>
      </c>
      <c r="F35" s="1" t="s">
        <v>40</v>
      </c>
      <c r="J35" s="1">
        <v>0.04</v>
      </c>
      <c r="K35" s="1">
        <v>4</v>
      </c>
      <c r="N35" s="1">
        <v>600</v>
      </c>
      <c r="O35" s="1">
        <v>60</v>
      </c>
      <c r="P35" s="1">
        <v>2</v>
      </c>
      <c r="Q35" s="1" t="s">
        <v>94</v>
      </c>
      <c r="R35" s="1">
        <v>0.1</v>
      </c>
      <c r="S35" s="1" t="s">
        <v>42</v>
      </c>
      <c r="T35" s="1">
        <v>1</v>
      </c>
      <c r="Y35" s="1">
        <v>2.5</v>
      </c>
      <c r="Z35" s="4">
        <v>1</v>
      </c>
      <c r="AC35" s="1">
        <v>20</v>
      </c>
      <c r="AD35" s="1">
        <v>330</v>
      </c>
    </row>
    <row r="36" spans="1:30">
      <c r="A36" s="6" t="s">
        <v>92</v>
      </c>
      <c r="B36" s="1" t="s">
        <v>45</v>
      </c>
      <c r="C36" s="2">
        <f t="shared" si="0"/>
        <v>4</v>
      </c>
      <c r="E36" s="1" t="s">
        <v>93</v>
      </c>
      <c r="F36" s="1" t="s">
        <v>40</v>
      </c>
      <c r="J36" s="1">
        <v>0.04</v>
      </c>
      <c r="K36" s="1">
        <v>4</v>
      </c>
      <c r="N36" s="1">
        <v>600</v>
      </c>
      <c r="O36" s="1">
        <v>60</v>
      </c>
      <c r="P36" s="1">
        <v>2</v>
      </c>
      <c r="Q36" s="1" t="s">
        <v>94</v>
      </c>
      <c r="R36" s="1">
        <v>0.25</v>
      </c>
      <c r="S36" s="1" t="s">
        <v>42</v>
      </c>
      <c r="T36" s="1">
        <v>1</v>
      </c>
      <c r="Y36" s="1">
        <v>2.5</v>
      </c>
      <c r="Z36" s="4">
        <v>1</v>
      </c>
      <c r="AC36" s="1">
        <v>10</v>
      </c>
      <c r="AD36" s="1">
        <v>330</v>
      </c>
    </row>
    <row r="37" spans="1:30">
      <c r="A37" s="5" t="s">
        <v>100</v>
      </c>
      <c r="B37" s="1" t="s">
        <v>45</v>
      </c>
      <c r="C37" s="2">
        <f t="shared" si="0"/>
        <v>2.9999999999999996</v>
      </c>
      <c r="E37" s="3" t="s">
        <v>98</v>
      </c>
      <c r="F37" s="1" t="s">
        <v>30</v>
      </c>
      <c r="G37" s="1">
        <v>-1.3</v>
      </c>
      <c r="K37" s="1">
        <v>1</v>
      </c>
      <c r="N37" s="1">
        <v>300</v>
      </c>
      <c r="P37" s="1">
        <v>2</v>
      </c>
      <c r="Q37" s="1" t="s">
        <v>31</v>
      </c>
      <c r="R37" s="1">
        <v>1.2500000000000001E-2</v>
      </c>
      <c r="S37" s="1" t="s">
        <v>58</v>
      </c>
      <c r="T37" s="1">
        <v>3.7499999999999999E-2</v>
      </c>
      <c r="Y37" s="1">
        <v>2</v>
      </c>
      <c r="Z37" s="4">
        <v>1</v>
      </c>
      <c r="AC37" s="1">
        <v>15</v>
      </c>
      <c r="AD37" s="1">
        <v>330</v>
      </c>
    </row>
    <row r="38" spans="1:30">
      <c r="A38" s="5" t="s">
        <v>101</v>
      </c>
      <c r="B38" s="1" t="s">
        <v>45</v>
      </c>
      <c r="C38" s="2">
        <f t="shared" si="0"/>
        <v>5</v>
      </c>
      <c r="E38" s="3" t="s">
        <v>87</v>
      </c>
      <c r="F38" s="1" t="s">
        <v>30</v>
      </c>
      <c r="G38" s="1">
        <v>-1</v>
      </c>
      <c r="K38" s="1">
        <v>0.03</v>
      </c>
      <c r="N38" s="1">
        <v>600</v>
      </c>
      <c r="O38" s="1">
        <v>25</v>
      </c>
      <c r="P38" s="1">
        <v>3</v>
      </c>
      <c r="Q38" s="1" t="s">
        <v>41</v>
      </c>
      <c r="R38" s="1">
        <v>0.05</v>
      </c>
      <c r="S38" s="1" t="s">
        <v>42</v>
      </c>
      <c r="T38" s="1">
        <v>0.25</v>
      </c>
      <c r="Y38" s="1">
        <v>3</v>
      </c>
      <c r="Z38" s="4">
        <v>1</v>
      </c>
      <c r="AB38" s="1">
        <v>1</v>
      </c>
      <c r="AC38" s="1">
        <v>10</v>
      </c>
      <c r="AD38" s="1">
        <v>336</v>
      </c>
    </row>
    <row r="39" spans="1:30">
      <c r="A39" s="5" t="s">
        <v>102</v>
      </c>
      <c r="B39" s="1" t="s">
        <v>65</v>
      </c>
      <c r="C39" s="2">
        <f t="shared" si="0"/>
        <v>10</v>
      </c>
      <c r="D39" s="1" t="s">
        <v>66</v>
      </c>
      <c r="E39" s="3" t="s">
        <v>98</v>
      </c>
      <c r="F39" s="1" t="s">
        <v>40</v>
      </c>
      <c r="J39" s="1">
        <v>0.06</v>
      </c>
      <c r="K39" s="1">
        <v>1</v>
      </c>
      <c r="N39" s="1">
        <v>3600</v>
      </c>
      <c r="O39" s="1">
        <v>25</v>
      </c>
      <c r="P39" s="1">
        <v>2</v>
      </c>
      <c r="Q39" s="1" t="s">
        <v>94</v>
      </c>
      <c r="R39" s="1">
        <v>0.01</v>
      </c>
      <c r="S39" s="1" t="s">
        <v>42</v>
      </c>
      <c r="T39" s="1">
        <v>0.1</v>
      </c>
      <c r="U39" s="1" t="s">
        <v>68</v>
      </c>
      <c r="V39" s="1">
        <v>0.02</v>
      </c>
      <c r="Y39" s="1">
        <v>6</v>
      </c>
      <c r="Z39" s="4">
        <v>1</v>
      </c>
      <c r="AC39" s="1">
        <v>10</v>
      </c>
      <c r="AD39" s="1">
        <v>338</v>
      </c>
    </row>
    <row r="40" spans="1:30">
      <c r="A40" s="6" t="s">
        <v>92</v>
      </c>
      <c r="B40" s="1" t="s">
        <v>45</v>
      </c>
      <c r="C40" s="2">
        <f t="shared" si="0"/>
        <v>20</v>
      </c>
      <c r="E40" s="1" t="s">
        <v>93</v>
      </c>
      <c r="F40" s="1" t="s">
        <v>40</v>
      </c>
      <c r="J40" s="1">
        <v>0.04</v>
      </c>
      <c r="K40" s="1">
        <v>4</v>
      </c>
      <c r="N40" s="1">
        <v>600</v>
      </c>
      <c r="O40" s="1">
        <v>60</v>
      </c>
      <c r="P40" s="1">
        <v>2</v>
      </c>
      <c r="Q40" s="1" t="s">
        <v>94</v>
      </c>
      <c r="R40" s="1">
        <v>0.05</v>
      </c>
      <c r="S40" s="1" t="s">
        <v>42</v>
      </c>
      <c r="T40" s="1">
        <v>1</v>
      </c>
      <c r="Y40" s="1">
        <v>2.5</v>
      </c>
      <c r="Z40" s="4">
        <v>1</v>
      </c>
      <c r="AC40" s="1">
        <v>20</v>
      </c>
      <c r="AD40" s="1">
        <v>338</v>
      </c>
    </row>
    <row r="41" spans="1:30">
      <c r="A41" s="5" t="s">
        <v>102</v>
      </c>
      <c r="B41" s="1" t="s">
        <v>65</v>
      </c>
      <c r="C41" s="2">
        <f t="shared" si="0"/>
        <v>16.666666666666668</v>
      </c>
      <c r="D41" s="1" t="s">
        <v>66</v>
      </c>
      <c r="E41" s="3" t="s">
        <v>103</v>
      </c>
      <c r="F41" s="1" t="s">
        <v>40</v>
      </c>
      <c r="J41" s="1">
        <v>0.04</v>
      </c>
      <c r="K41" s="1">
        <v>1</v>
      </c>
      <c r="N41" s="1">
        <v>3600</v>
      </c>
      <c r="O41" s="1">
        <v>25</v>
      </c>
      <c r="P41" s="1">
        <v>2</v>
      </c>
      <c r="Q41" s="1" t="s">
        <v>94</v>
      </c>
      <c r="R41" s="1">
        <v>6.0000000000000001E-3</v>
      </c>
      <c r="S41" s="1" t="s">
        <v>42</v>
      </c>
      <c r="T41" s="1">
        <v>0.1</v>
      </c>
      <c r="U41" s="1" t="s">
        <v>68</v>
      </c>
      <c r="V41" s="1">
        <v>0.02</v>
      </c>
      <c r="Y41" s="1">
        <v>6</v>
      </c>
      <c r="Z41" s="4">
        <v>1</v>
      </c>
      <c r="AC41" s="1">
        <v>10</v>
      </c>
      <c r="AD41" s="1">
        <v>342</v>
      </c>
    </row>
    <row r="42" spans="1:30">
      <c r="A42" s="5" t="s">
        <v>102</v>
      </c>
      <c r="B42" s="1" t="s">
        <v>65</v>
      </c>
      <c r="C42" s="2">
        <f t="shared" si="0"/>
        <v>50</v>
      </c>
      <c r="D42" s="1" t="s">
        <v>66</v>
      </c>
      <c r="E42" s="3" t="s">
        <v>98</v>
      </c>
      <c r="F42" s="1" t="s">
        <v>40</v>
      </c>
      <c r="J42" s="1">
        <v>0.06</v>
      </c>
      <c r="K42" s="1">
        <v>1</v>
      </c>
      <c r="N42" s="1">
        <v>3600</v>
      </c>
      <c r="O42" s="1">
        <v>25</v>
      </c>
      <c r="P42" s="1">
        <v>2</v>
      </c>
      <c r="Q42" s="1" t="s">
        <v>94</v>
      </c>
      <c r="R42" s="1">
        <v>2E-3</v>
      </c>
      <c r="S42" s="1" t="s">
        <v>42</v>
      </c>
      <c r="T42" s="1">
        <v>0.1</v>
      </c>
      <c r="U42" s="1" t="s">
        <v>68</v>
      </c>
      <c r="V42" s="1">
        <v>0.02</v>
      </c>
      <c r="Y42" s="1">
        <v>6</v>
      </c>
      <c r="Z42" s="4">
        <v>1</v>
      </c>
      <c r="AC42" s="1">
        <v>10</v>
      </c>
      <c r="AD42" s="1">
        <v>343</v>
      </c>
    </row>
    <row r="43" spans="1:30">
      <c r="A43" s="5" t="s">
        <v>102</v>
      </c>
      <c r="B43" s="1" t="s">
        <v>65</v>
      </c>
      <c r="C43" s="2">
        <f t="shared" si="0"/>
        <v>16.666666666666668</v>
      </c>
      <c r="D43" s="1" t="s">
        <v>66</v>
      </c>
      <c r="E43" s="3" t="s">
        <v>87</v>
      </c>
      <c r="F43" s="1" t="s">
        <v>40</v>
      </c>
      <c r="J43" s="1">
        <v>0.06</v>
      </c>
      <c r="K43" s="1">
        <v>1</v>
      </c>
      <c r="N43" s="1">
        <v>3600</v>
      </c>
      <c r="O43" s="1">
        <v>25</v>
      </c>
      <c r="P43" s="1">
        <v>2</v>
      </c>
      <c r="Q43" s="1" t="s">
        <v>94</v>
      </c>
      <c r="R43" s="1">
        <v>6.0000000000000001E-3</v>
      </c>
      <c r="S43" s="1" t="s">
        <v>42</v>
      </c>
      <c r="T43" s="1">
        <v>0.1</v>
      </c>
      <c r="U43" s="1" t="s">
        <v>68</v>
      </c>
      <c r="V43" s="1">
        <v>0.02</v>
      </c>
      <c r="Y43" s="1">
        <v>6</v>
      </c>
      <c r="Z43" s="4">
        <v>1</v>
      </c>
      <c r="AC43" s="1">
        <v>10</v>
      </c>
      <c r="AD43" s="1">
        <v>344</v>
      </c>
    </row>
    <row r="44" spans="1:30">
      <c r="A44" s="5" t="s">
        <v>102</v>
      </c>
      <c r="B44" s="1" t="s">
        <v>65</v>
      </c>
      <c r="C44" s="2">
        <f t="shared" si="0"/>
        <v>16.666666666666668</v>
      </c>
      <c r="D44" s="1" t="s">
        <v>66</v>
      </c>
      <c r="E44" s="3" t="s">
        <v>104</v>
      </c>
      <c r="F44" s="1" t="s">
        <v>40</v>
      </c>
      <c r="J44" s="1">
        <v>0.08</v>
      </c>
      <c r="K44" s="1">
        <v>1</v>
      </c>
      <c r="N44" s="1">
        <v>3600</v>
      </c>
      <c r="O44" s="1">
        <v>25</v>
      </c>
      <c r="P44" s="1">
        <v>2</v>
      </c>
      <c r="Q44" s="1" t="s">
        <v>94</v>
      </c>
      <c r="R44" s="1">
        <v>6.0000000000000001E-3</v>
      </c>
      <c r="S44" s="1" t="s">
        <v>42</v>
      </c>
      <c r="T44" s="1">
        <v>0.1</v>
      </c>
      <c r="U44" s="1" t="s">
        <v>68</v>
      </c>
      <c r="V44" s="1">
        <v>0.02</v>
      </c>
      <c r="Y44" s="1">
        <v>6</v>
      </c>
      <c r="Z44" s="4">
        <v>1</v>
      </c>
      <c r="AC44" s="1">
        <v>10</v>
      </c>
      <c r="AD44" s="1">
        <v>346</v>
      </c>
    </row>
    <row r="45" spans="1:30">
      <c r="A45" s="6" t="s">
        <v>105</v>
      </c>
      <c r="B45" s="1" t="s">
        <v>65</v>
      </c>
      <c r="C45" s="2">
        <f t="shared" si="0"/>
        <v>1.4999999999999998</v>
      </c>
      <c r="D45" s="1" t="s">
        <v>66</v>
      </c>
      <c r="E45" s="3" t="s">
        <v>106</v>
      </c>
      <c r="F45" s="1" t="s">
        <v>30</v>
      </c>
      <c r="G45" s="1">
        <v>-1.3</v>
      </c>
      <c r="K45" s="1">
        <v>1</v>
      </c>
      <c r="N45" s="1">
        <v>2400</v>
      </c>
      <c r="P45" s="1">
        <v>3</v>
      </c>
      <c r="Q45" s="1" t="s">
        <v>107</v>
      </c>
      <c r="R45" s="1">
        <v>2.4E-2</v>
      </c>
      <c r="S45" s="1" t="s">
        <v>32</v>
      </c>
      <c r="T45" s="1">
        <v>3.5999999999999997E-2</v>
      </c>
      <c r="U45" s="1" t="s">
        <v>68</v>
      </c>
      <c r="V45" s="12">
        <v>7.4999999999999997E-3</v>
      </c>
      <c r="Y45" s="1">
        <v>2</v>
      </c>
      <c r="Z45" s="4">
        <v>1</v>
      </c>
      <c r="AC45" s="1">
        <v>10</v>
      </c>
      <c r="AD45" s="1">
        <v>220</v>
      </c>
    </row>
    <row r="46" spans="1:30">
      <c r="A46" s="6" t="s">
        <v>105</v>
      </c>
      <c r="B46" s="1" t="s">
        <v>65</v>
      </c>
      <c r="C46" s="2">
        <f t="shared" si="0"/>
        <v>1.4999999999999998</v>
      </c>
      <c r="D46" s="1" t="s">
        <v>66</v>
      </c>
      <c r="E46" s="3" t="s">
        <v>57</v>
      </c>
      <c r="F46" s="1" t="s">
        <v>30</v>
      </c>
      <c r="G46" s="1">
        <v>-1.3</v>
      </c>
      <c r="K46" s="1">
        <v>1</v>
      </c>
      <c r="N46" s="1">
        <v>2400</v>
      </c>
      <c r="P46" s="1">
        <v>3</v>
      </c>
      <c r="Q46" s="1" t="s">
        <v>107</v>
      </c>
      <c r="R46" s="1">
        <v>2.4E-2</v>
      </c>
      <c r="S46" s="1" t="s">
        <v>32</v>
      </c>
      <c r="T46" s="1">
        <v>3.5999999999999997E-2</v>
      </c>
      <c r="U46" s="1" t="s">
        <v>68</v>
      </c>
      <c r="V46" s="12">
        <v>7.4999999999999997E-3</v>
      </c>
      <c r="Y46" s="1">
        <v>2</v>
      </c>
      <c r="Z46" s="4">
        <v>1</v>
      </c>
      <c r="AC46" s="1">
        <v>50</v>
      </c>
      <c r="AD46" s="1">
        <v>280</v>
      </c>
    </row>
    <row r="47" spans="1:30">
      <c r="A47" s="5" t="s">
        <v>102</v>
      </c>
      <c r="B47" s="1" t="s">
        <v>65</v>
      </c>
      <c r="C47" s="2">
        <f t="shared" si="0"/>
        <v>5.5555555555555562</v>
      </c>
      <c r="D47" s="1" t="s">
        <v>66</v>
      </c>
      <c r="E47" s="3" t="s">
        <v>98</v>
      </c>
      <c r="F47" s="1" t="s">
        <v>40</v>
      </c>
      <c r="J47" s="1">
        <v>0.06</v>
      </c>
      <c r="K47" s="1">
        <v>1</v>
      </c>
      <c r="N47" s="1">
        <v>3600</v>
      </c>
      <c r="O47" s="1">
        <v>25</v>
      </c>
      <c r="P47" s="1">
        <v>2</v>
      </c>
      <c r="Q47" s="1" t="s">
        <v>94</v>
      </c>
      <c r="R47" s="1">
        <v>1.7999999999999999E-2</v>
      </c>
      <c r="S47" s="1" t="s">
        <v>42</v>
      </c>
      <c r="T47" s="1">
        <v>0.1</v>
      </c>
      <c r="U47" s="1" t="s">
        <v>68</v>
      </c>
      <c r="V47" s="1">
        <v>0.02</v>
      </c>
      <c r="Y47" s="1">
        <v>6</v>
      </c>
      <c r="Z47" s="4">
        <v>1</v>
      </c>
      <c r="AC47" s="1">
        <v>10</v>
      </c>
      <c r="AD47" s="1">
        <v>348</v>
      </c>
    </row>
    <row r="48" spans="1:30">
      <c r="A48" s="5" t="s">
        <v>108</v>
      </c>
      <c r="B48" s="1" t="s">
        <v>96</v>
      </c>
      <c r="C48" s="2">
        <f t="shared" si="0"/>
        <v>1</v>
      </c>
      <c r="D48" s="1" t="s">
        <v>97</v>
      </c>
      <c r="E48" s="3" t="s">
        <v>35</v>
      </c>
      <c r="F48" s="1" t="s">
        <v>51</v>
      </c>
      <c r="H48" s="1">
        <v>-0.3</v>
      </c>
      <c r="I48" s="1">
        <v>-1</v>
      </c>
      <c r="K48" s="1">
        <v>1</v>
      </c>
      <c r="L48" s="1">
        <v>5</v>
      </c>
      <c r="M48" s="1">
        <v>8</v>
      </c>
      <c r="N48" s="1">
        <f>(H48-I48)*1000/L48*M48</f>
        <v>1120</v>
      </c>
      <c r="P48" s="1">
        <v>3</v>
      </c>
      <c r="Q48" s="1" t="s">
        <v>47</v>
      </c>
      <c r="R48" s="1">
        <v>2.5000000000000001E-2</v>
      </c>
      <c r="S48" s="1" t="s">
        <v>32</v>
      </c>
      <c r="T48" s="1">
        <v>2.5000000000000001E-2</v>
      </c>
      <c r="U48" s="1" t="s">
        <v>99</v>
      </c>
      <c r="V48" s="1">
        <v>0.25</v>
      </c>
      <c r="Y48" s="1">
        <v>2</v>
      </c>
      <c r="Z48" s="4">
        <v>1</v>
      </c>
      <c r="AB48" s="1">
        <v>0.9</v>
      </c>
      <c r="AC48" s="1">
        <v>50</v>
      </c>
      <c r="AD48" s="1">
        <v>267</v>
      </c>
    </row>
    <row r="49" spans="1:30">
      <c r="A49" s="7" t="s">
        <v>50</v>
      </c>
      <c r="B49" s="1" t="s">
        <v>27</v>
      </c>
      <c r="C49" s="2">
        <f t="shared" si="0"/>
        <v>2</v>
      </c>
      <c r="D49" s="1" t="s">
        <v>28</v>
      </c>
      <c r="E49" s="3" t="s">
        <v>46</v>
      </c>
      <c r="F49" s="1" t="s">
        <v>51</v>
      </c>
      <c r="H49" s="1">
        <v>-0.2</v>
      </c>
      <c r="I49" s="1">
        <v>-1</v>
      </c>
      <c r="L49" s="1">
        <v>5</v>
      </c>
      <c r="M49" s="1">
        <v>40</v>
      </c>
      <c r="N49" s="1">
        <f>(H49-I49)*1000/L49*M49</f>
        <v>6400</v>
      </c>
      <c r="P49" s="1">
        <v>3</v>
      </c>
      <c r="Q49" s="3" t="s">
        <v>52</v>
      </c>
      <c r="R49" s="1">
        <v>5.0000000000000002E-5</v>
      </c>
      <c r="S49" s="1" t="s">
        <v>42</v>
      </c>
      <c r="T49" s="1">
        <v>1E-4</v>
      </c>
      <c r="U49" s="1" t="s">
        <v>53</v>
      </c>
      <c r="V49" s="1">
        <v>5.0000000000000002E-5</v>
      </c>
      <c r="Y49" s="1">
        <v>3</v>
      </c>
      <c r="Z49" s="4">
        <v>1</v>
      </c>
      <c r="AC49" s="1">
        <v>10</v>
      </c>
      <c r="AD49" s="1">
        <v>288</v>
      </c>
    </row>
    <row r="50" spans="1:30">
      <c r="A50" s="5" t="s">
        <v>100</v>
      </c>
      <c r="B50" s="1" t="s">
        <v>45</v>
      </c>
      <c r="C50" s="2">
        <f t="shared" si="0"/>
        <v>9</v>
      </c>
      <c r="E50" s="3" t="s">
        <v>87</v>
      </c>
      <c r="F50" s="1" t="s">
        <v>30</v>
      </c>
      <c r="G50" s="1">
        <v>-1.3</v>
      </c>
      <c r="K50" s="1">
        <v>1</v>
      </c>
      <c r="N50" s="1">
        <v>300</v>
      </c>
      <c r="P50" s="1">
        <v>2</v>
      </c>
      <c r="Q50" s="1" t="s">
        <v>31</v>
      </c>
      <c r="R50" s="1">
        <v>5.0000000000000001E-3</v>
      </c>
      <c r="S50" s="1" t="s">
        <v>58</v>
      </c>
      <c r="T50" s="1">
        <v>4.4999999999999998E-2</v>
      </c>
      <c r="Y50" s="1">
        <v>2</v>
      </c>
      <c r="Z50" s="4">
        <v>1</v>
      </c>
      <c r="AC50" s="1">
        <v>15</v>
      </c>
      <c r="AD50" s="1">
        <v>350</v>
      </c>
    </row>
    <row r="51" spans="1:30">
      <c r="A51" s="5" t="s">
        <v>109</v>
      </c>
      <c r="B51" s="1" t="s">
        <v>96</v>
      </c>
      <c r="C51" s="2">
        <f t="shared" si="0"/>
        <v>2.9999999999999996</v>
      </c>
      <c r="D51" s="1" t="s">
        <v>97</v>
      </c>
      <c r="E51" s="3" t="s">
        <v>57</v>
      </c>
      <c r="F51" s="1" t="s">
        <v>51</v>
      </c>
      <c r="H51" s="1">
        <v>-1</v>
      </c>
      <c r="I51" s="1">
        <v>-0.3</v>
      </c>
      <c r="L51" s="1">
        <v>5</v>
      </c>
      <c r="M51" s="1">
        <v>15</v>
      </c>
      <c r="N51" s="1">
        <f>(I51-H51)*1000/L51*M51</f>
        <v>2100</v>
      </c>
      <c r="P51" s="1">
        <v>2</v>
      </c>
      <c r="Q51" s="1" t="s">
        <v>31</v>
      </c>
      <c r="R51" s="1">
        <v>1.2500000000000001E-2</v>
      </c>
      <c r="S51" s="1" t="s">
        <v>58</v>
      </c>
      <c r="T51" s="1">
        <v>3.7499999999999999E-2</v>
      </c>
      <c r="U51" s="1" t="s">
        <v>99</v>
      </c>
      <c r="V51" s="1">
        <v>0.5</v>
      </c>
      <c r="Y51" s="1">
        <v>5.5</v>
      </c>
      <c r="Z51" s="4">
        <v>1</v>
      </c>
      <c r="AB51" s="1">
        <v>0.9</v>
      </c>
      <c r="AC51" s="1">
        <v>20</v>
      </c>
      <c r="AD51" s="1">
        <v>204</v>
      </c>
    </row>
    <row r="52" spans="1:30">
      <c r="A52" s="5" t="s">
        <v>110</v>
      </c>
      <c r="B52" s="1" t="s">
        <v>111</v>
      </c>
      <c r="C52" s="2">
        <f t="shared" si="0"/>
        <v>1</v>
      </c>
      <c r="D52" s="1" t="s">
        <v>38</v>
      </c>
      <c r="E52" s="3" t="s">
        <v>57</v>
      </c>
      <c r="F52" s="1" t="s">
        <v>51</v>
      </c>
      <c r="H52" s="1">
        <v>-0.3</v>
      </c>
      <c r="I52" s="1">
        <v>-1</v>
      </c>
      <c r="K52" s="1">
        <v>1</v>
      </c>
      <c r="L52" s="1">
        <v>5</v>
      </c>
      <c r="M52" s="1">
        <v>8</v>
      </c>
      <c r="N52" s="1">
        <f>(H52-I52)*1000/L52*M52</f>
        <v>1120</v>
      </c>
      <c r="P52" s="1">
        <v>3</v>
      </c>
      <c r="Q52" s="1" t="s">
        <v>47</v>
      </c>
      <c r="R52" s="1">
        <v>2.5000000000000001E-2</v>
      </c>
      <c r="S52" s="1" t="s">
        <v>32</v>
      </c>
      <c r="T52" s="1">
        <v>2.5000000000000001E-2</v>
      </c>
      <c r="U52" s="1" t="s">
        <v>112</v>
      </c>
      <c r="V52" s="1">
        <v>0.1</v>
      </c>
      <c r="Y52" s="1">
        <v>2</v>
      </c>
      <c r="Z52" s="4">
        <v>1</v>
      </c>
      <c r="AB52" s="1">
        <v>0.9</v>
      </c>
      <c r="AC52" s="1">
        <v>50</v>
      </c>
      <c r="AD52" s="1">
        <v>230</v>
      </c>
    </row>
    <row r="53" spans="1:30">
      <c r="A53" s="6" t="s">
        <v>113</v>
      </c>
      <c r="B53" s="1" t="s">
        <v>111</v>
      </c>
      <c r="C53" s="2">
        <f t="shared" si="0"/>
        <v>1</v>
      </c>
      <c r="D53" s="1" t="s">
        <v>38</v>
      </c>
      <c r="E53" s="3" t="s">
        <v>57</v>
      </c>
      <c r="F53" s="1" t="s">
        <v>30</v>
      </c>
      <c r="G53" s="1">
        <v>-2</v>
      </c>
      <c r="N53" s="1">
        <v>300</v>
      </c>
      <c r="P53" s="1">
        <v>2</v>
      </c>
      <c r="Q53" s="1" t="s">
        <v>31</v>
      </c>
      <c r="R53" s="1">
        <v>0.5</v>
      </c>
      <c r="S53" s="1" t="s">
        <v>32</v>
      </c>
      <c r="T53" s="1">
        <v>0.5</v>
      </c>
      <c r="U53" s="1" t="s">
        <v>112</v>
      </c>
      <c r="V53" s="1">
        <v>1</v>
      </c>
      <c r="Y53" s="1">
        <v>5</v>
      </c>
      <c r="Z53" s="4">
        <v>1</v>
      </c>
      <c r="AB53" s="1">
        <v>0.9</v>
      </c>
      <c r="AC53" s="1">
        <v>10</v>
      </c>
      <c r="AD53" s="1">
        <v>210</v>
      </c>
    </row>
    <row r="54" spans="1:30">
      <c r="A54" s="6" t="s">
        <v>113</v>
      </c>
      <c r="B54" s="1" t="s">
        <v>111</v>
      </c>
      <c r="C54" s="2">
        <f t="shared" si="0"/>
        <v>1</v>
      </c>
      <c r="D54" s="1" t="s">
        <v>38</v>
      </c>
      <c r="E54" s="3" t="s">
        <v>114</v>
      </c>
      <c r="F54" s="1" t="s">
        <v>30</v>
      </c>
      <c r="G54" s="1">
        <v>-2</v>
      </c>
      <c r="N54" s="1">
        <v>300</v>
      </c>
      <c r="P54" s="1">
        <v>2</v>
      </c>
      <c r="Q54" s="1" t="s">
        <v>31</v>
      </c>
      <c r="R54" s="1">
        <v>0.5</v>
      </c>
      <c r="S54" s="1" t="s">
        <v>32</v>
      </c>
      <c r="T54" s="1">
        <v>0.5</v>
      </c>
      <c r="U54" s="1" t="s">
        <v>112</v>
      </c>
      <c r="V54" s="1">
        <v>1</v>
      </c>
      <c r="Y54" s="1">
        <v>5</v>
      </c>
      <c r="Z54" s="4">
        <v>1</v>
      </c>
      <c r="AB54" s="1">
        <v>0.9</v>
      </c>
      <c r="AC54" s="1">
        <v>50</v>
      </c>
      <c r="AD54" s="1">
        <v>238</v>
      </c>
    </row>
    <row r="55" spans="1:30">
      <c r="A55" s="6" t="s">
        <v>113</v>
      </c>
      <c r="B55" s="1" t="s">
        <v>111</v>
      </c>
      <c r="C55" s="2">
        <f t="shared" si="0"/>
        <v>1</v>
      </c>
      <c r="D55" s="1" t="s">
        <v>38</v>
      </c>
      <c r="E55" s="3" t="s">
        <v>106</v>
      </c>
      <c r="F55" s="1" t="s">
        <v>30</v>
      </c>
      <c r="G55" s="1">
        <v>-2</v>
      </c>
      <c r="N55" s="1">
        <v>300</v>
      </c>
      <c r="P55" s="1">
        <v>2</v>
      </c>
      <c r="Q55" s="1" t="s">
        <v>31</v>
      </c>
      <c r="R55" s="1">
        <v>0.5</v>
      </c>
      <c r="S55" s="1" t="s">
        <v>32</v>
      </c>
      <c r="T55" s="1">
        <v>0.5</v>
      </c>
      <c r="U55" s="1" t="s">
        <v>112</v>
      </c>
      <c r="V55" s="1">
        <v>1</v>
      </c>
      <c r="Y55" s="1">
        <v>5</v>
      </c>
      <c r="Z55" s="4">
        <v>1</v>
      </c>
      <c r="AB55" s="1">
        <v>0.9</v>
      </c>
      <c r="AC55" s="1">
        <v>100</v>
      </c>
      <c r="AD55" s="1">
        <v>252</v>
      </c>
    </row>
    <row r="56" spans="1:30">
      <c r="A56" s="6" t="s">
        <v>115</v>
      </c>
      <c r="B56" s="1" t="s">
        <v>111</v>
      </c>
      <c r="C56" s="2">
        <f t="shared" si="0"/>
        <v>0.25</v>
      </c>
      <c r="D56" s="1" t="s">
        <v>38</v>
      </c>
      <c r="E56" s="3" t="s">
        <v>57</v>
      </c>
      <c r="F56" s="1" t="s">
        <v>30</v>
      </c>
      <c r="G56" s="1">
        <v>-0.85</v>
      </c>
      <c r="K56" s="1">
        <v>0.5</v>
      </c>
      <c r="N56" s="1">
        <v>900</v>
      </c>
      <c r="P56" s="1">
        <v>2</v>
      </c>
      <c r="Q56" s="1" t="s">
        <v>31</v>
      </c>
      <c r="R56" s="1">
        <v>0.08</v>
      </c>
      <c r="S56" s="1" t="s">
        <v>58</v>
      </c>
      <c r="T56" s="1">
        <v>0.02</v>
      </c>
      <c r="U56" s="1" t="s">
        <v>116</v>
      </c>
      <c r="V56" s="1">
        <v>0.1</v>
      </c>
      <c r="Y56" s="1">
        <v>5</v>
      </c>
      <c r="Z56" s="4">
        <v>1</v>
      </c>
      <c r="AC56" s="1">
        <v>10</v>
      </c>
      <c r="AD56" s="1">
        <v>258</v>
      </c>
    </row>
    <row r="57" spans="1:30">
      <c r="A57" s="6" t="s">
        <v>115</v>
      </c>
      <c r="B57" s="1" t="s">
        <v>111</v>
      </c>
      <c r="C57" s="2">
        <f t="shared" si="0"/>
        <v>1</v>
      </c>
      <c r="D57" s="1" t="s">
        <v>38</v>
      </c>
      <c r="E57" s="3" t="s">
        <v>57</v>
      </c>
      <c r="F57" s="1" t="s">
        <v>30</v>
      </c>
      <c r="G57" s="1">
        <v>-0.85</v>
      </c>
      <c r="K57" s="1">
        <v>0.5</v>
      </c>
      <c r="N57" s="1">
        <v>900</v>
      </c>
      <c r="P57" s="1">
        <v>2</v>
      </c>
      <c r="Q57" s="1" t="s">
        <v>31</v>
      </c>
      <c r="R57" s="1">
        <v>0.05</v>
      </c>
      <c r="S57" s="1" t="s">
        <v>58</v>
      </c>
      <c r="T57" s="1">
        <v>0.05</v>
      </c>
      <c r="U57" s="1" t="s">
        <v>116</v>
      </c>
      <c r="V57" s="1">
        <v>0.1</v>
      </c>
      <c r="Y57" s="1">
        <v>5</v>
      </c>
      <c r="Z57" s="4">
        <v>1</v>
      </c>
      <c r="AC57" s="1">
        <v>10</v>
      </c>
      <c r="AD57" s="1">
        <v>250</v>
      </c>
    </row>
    <row r="58" spans="1:30">
      <c r="A58" s="6" t="s">
        <v>115</v>
      </c>
      <c r="B58" s="1" t="s">
        <v>111</v>
      </c>
      <c r="C58" s="2">
        <f t="shared" si="0"/>
        <v>4</v>
      </c>
      <c r="D58" s="1" t="s">
        <v>38</v>
      </c>
      <c r="E58" s="3" t="s">
        <v>57</v>
      </c>
      <c r="F58" s="1" t="s">
        <v>30</v>
      </c>
      <c r="G58" s="1">
        <v>-0.85</v>
      </c>
      <c r="K58" s="1">
        <v>0.5</v>
      </c>
      <c r="N58" s="1">
        <v>900</v>
      </c>
      <c r="P58" s="1">
        <v>2</v>
      </c>
      <c r="Q58" s="1" t="s">
        <v>31</v>
      </c>
      <c r="R58" s="1">
        <v>0.02</v>
      </c>
      <c r="S58" s="1" t="s">
        <v>58</v>
      </c>
      <c r="T58" s="1">
        <v>0.08</v>
      </c>
      <c r="U58" s="1" t="s">
        <v>116</v>
      </c>
      <c r="V58" s="1">
        <v>0.1</v>
      </c>
      <c r="Y58" s="1">
        <v>5</v>
      </c>
      <c r="Z58" s="4">
        <v>1</v>
      </c>
      <c r="AC58" s="1">
        <v>10</v>
      </c>
      <c r="AD58" s="1">
        <v>243</v>
      </c>
    </row>
    <row r="59" spans="1:30">
      <c r="A59" s="6" t="s">
        <v>115</v>
      </c>
      <c r="B59" s="1" t="s">
        <v>111</v>
      </c>
      <c r="C59" s="2">
        <f t="shared" si="0"/>
        <v>4</v>
      </c>
      <c r="D59" s="1" t="s">
        <v>38</v>
      </c>
      <c r="E59" s="3" t="s">
        <v>35</v>
      </c>
      <c r="F59" s="1" t="s">
        <v>30</v>
      </c>
      <c r="G59" s="1">
        <v>-0.85</v>
      </c>
      <c r="K59" s="1">
        <v>0.5</v>
      </c>
      <c r="N59" s="1">
        <v>900</v>
      </c>
      <c r="P59" s="1">
        <v>2</v>
      </c>
      <c r="Q59" s="1" t="s">
        <v>31</v>
      </c>
      <c r="R59" s="1">
        <v>0.02</v>
      </c>
      <c r="S59" s="1" t="s">
        <v>58</v>
      </c>
      <c r="T59" s="1">
        <v>0.08</v>
      </c>
      <c r="U59" s="1" t="s">
        <v>116</v>
      </c>
      <c r="V59" s="1">
        <v>0.1</v>
      </c>
      <c r="Y59" s="1">
        <v>5</v>
      </c>
      <c r="Z59" s="4">
        <v>1</v>
      </c>
      <c r="AC59" s="1">
        <v>50</v>
      </c>
      <c r="AD59" s="1">
        <v>310</v>
      </c>
    </row>
    <row r="60" spans="1:30">
      <c r="A60" s="6" t="s">
        <v>36</v>
      </c>
      <c r="B60" s="1" t="s">
        <v>37</v>
      </c>
      <c r="C60" s="2">
        <f t="shared" si="0"/>
        <v>3</v>
      </c>
      <c r="D60" s="3" t="s">
        <v>117</v>
      </c>
      <c r="E60" s="3" t="s">
        <v>118</v>
      </c>
      <c r="F60" s="1" t="s">
        <v>40</v>
      </c>
      <c r="J60" s="1">
        <v>0.25</v>
      </c>
      <c r="K60" s="1">
        <v>1</v>
      </c>
      <c r="N60" s="1">
        <v>425</v>
      </c>
      <c r="P60" s="1">
        <v>3</v>
      </c>
      <c r="Q60" s="1" t="s">
        <v>41</v>
      </c>
      <c r="R60" s="1">
        <v>0.03</v>
      </c>
      <c r="S60" s="1" t="s">
        <v>42</v>
      </c>
      <c r="T60" s="1">
        <v>0.09</v>
      </c>
      <c r="U60" s="1" t="s">
        <v>99</v>
      </c>
      <c r="V60" s="1">
        <v>1</v>
      </c>
      <c r="Y60" s="1">
        <v>2</v>
      </c>
      <c r="Z60" s="4">
        <v>1</v>
      </c>
      <c r="AB60" s="1">
        <v>0.85</v>
      </c>
      <c r="AC60" s="1">
        <v>10</v>
      </c>
      <c r="AD60" s="1">
        <v>296</v>
      </c>
    </row>
    <row r="61" spans="1:30" ht="15.75">
      <c r="A61" s="5" t="s">
        <v>119</v>
      </c>
      <c r="B61" s="1" t="s">
        <v>89</v>
      </c>
      <c r="C61" s="2">
        <f t="shared" si="0"/>
        <v>3.5185185185185186</v>
      </c>
      <c r="D61" s="1" t="s">
        <v>90</v>
      </c>
      <c r="E61" s="1" t="s">
        <v>67</v>
      </c>
      <c r="F61" s="1" t="s">
        <v>40</v>
      </c>
      <c r="J61" s="1">
        <v>0.02</v>
      </c>
      <c r="K61" s="1">
        <v>1</v>
      </c>
      <c r="N61" s="1">
        <v>3600</v>
      </c>
      <c r="O61" s="1">
        <v>40</v>
      </c>
      <c r="P61" s="1">
        <v>2</v>
      </c>
      <c r="Q61" s="1" t="s">
        <v>31</v>
      </c>
      <c r="R61" s="1">
        <v>0.108</v>
      </c>
      <c r="S61" s="1" t="s">
        <v>58</v>
      </c>
      <c r="T61" s="1">
        <v>0.38</v>
      </c>
      <c r="U61" s="13" t="s">
        <v>91</v>
      </c>
      <c r="V61" s="1">
        <v>2.1999999999999999E-2</v>
      </c>
      <c r="Y61" s="1">
        <v>4</v>
      </c>
      <c r="Z61" s="4">
        <v>0.3</v>
      </c>
      <c r="AC61" s="1">
        <v>10</v>
      </c>
      <c r="AD61" s="1">
        <v>253</v>
      </c>
    </row>
    <row r="62" spans="1:30">
      <c r="A62" s="5" t="s">
        <v>102</v>
      </c>
      <c r="B62" s="1" t="s">
        <v>65</v>
      </c>
      <c r="C62" s="2">
        <f t="shared" si="0"/>
        <v>7.1428571428571432</v>
      </c>
      <c r="D62" s="1" t="s">
        <v>66</v>
      </c>
      <c r="E62" s="3" t="s">
        <v>120</v>
      </c>
      <c r="F62" s="1" t="s">
        <v>40</v>
      </c>
      <c r="J62" s="1">
        <v>0.06</v>
      </c>
      <c r="K62" s="1">
        <v>1</v>
      </c>
      <c r="N62" s="1">
        <v>3600</v>
      </c>
      <c r="O62" s="1">
        <v>25</v>
      </c>
      <c r="P62" s="1">
        <v>2</v>
      </c>
      <c r="Q62" s="1" t="s">
        <v>94</v>
      </c>
      <c r="R62" s="1">
        <v>1.4E-2</v>
      </c>
      <c r="S62" s="1" t="s">
        <v>42</v>
      </c>
      <c r="T62" s="1">
        <v>0.1</v>
      </c>
      <c r="U62" s="1" t="s">
        <v>68</v>
      </c>
      <c r="V62" s="1">
        <v>0.02</v>
      </c>
      <c r="Y62" s="1">
        <v>6</v>
      </c>
      <c r="Z62" s="4">
        <v>1</v>
      </c>
      <c r="AC62" s="1">
        <v>10</v>
      </c>
      <c r="AD62" s="1">
        <v>356</v>
      </c>
    </row>
    <row r="63" spans="1:30">
      <c r="A63" s="5" t="s">
        <v>121</v>
      </c>
      <c r="B63" s="3" t="s">
        <v>122</v>
      </c>
      <c r="C63" s="2">
        <f t="shared" si="0"/>
        <v>0.36111111111111105</v>
      </c>
      <c r="D63" s="1" t="s">
        <v>123</v>
      </c>
      <c r="E63" s="1" t="s">
        <v>67</v>
      </c>
      <c r="F63" s="1" t="s">
        <v>40</v>
      </c>
      <c r="J63" s="1">
        <v>2E-3</v>
      </c>
      <c r="K63" s="1">
        <v>4</v>
      </c>
      <c r="N63" s="1">
        <v>3600</v>
      </c>
      <c r="P63" s="1">
        <v>3</v>
      </c>
      <c r="Q63" s="1" t="s">
        <v>47</v>
      </c>
      <c r="R63" s="1">
        <v>1.0800000000000001E-2</v>
      </c>
      <c r="S63" s="1" t="s">
        <v>32</v>
      </c>
      <c r="T63" s="1">
        <v>3.8999999999999998E-3</v>
      </c>
      <c r="U63" s="1" t="s">
        <v>124</v>
      </c>
      <c r="V63" s="1">
        <v>2.9999999999999997E-4</v>
      </c>
      <c r="Y63" s="1">
        <v>4</v>
      </c>
      <c r="Z63" s="4">
        <v>1</v>
      </c>
      <c r="AB63" s="1">
        <v>0.9</v>
      </c>
      <c r="AC63" s="1">
        <v>10</v>
      </c>
      <c r="AD63" s="1">
        <v>231</v>
      </c>
    </row>
    <row r="64" spans="1:30">
      <c r="A64" s="5" t="s">
        <v>125</v>
      </c>
      <c r="B64" s="1" t="s">
        <v>126</v>
      </c>
      <c r="C64" s="2">
        <f t="shared" si="0"/>
        <v>0.36111111111111105</v>
      </c>
      <c r="D64" s="1" t="s">
        <v>123</v>
      </c>
      <c r="E64" s="1" t="s">
        <v>67</v>
      </c>
      <c r="F64" s="1" t="s">
        <v>40</v>
      </c>
      <c r="J64" s="1">
        <v>2E-3</v>
      </c>
      <c r="K64" s="1">
        <v>4</v>
      </c>
      <c r="N64" s="1">
        <v>3600</v>
      </c>
      <c r="P64" s="1">
        <v>3</v>
      </c>
      <c r="Q64" s="1" t="s">
        <v>47</v>
      </c>
      <c r="R64" s="1">
        <v>1.0800000000000001E-2</v>
      </c>
      <c r="S64" s="1" t="s">
        <v>32</v>
      </c>
      <c r="T64" s="1">
        <v>3.8999999999999998E-3</v>
      </c>
      <c r="U64" s="1" t="s">
        <v>124</v>
      </c>
      <c r="V64" s="1">
        <v>2.9999999999999997E-4</v>
      </c>
      <c r="Y64" s="1">
        <v>4</v>
      </c>
      <c r="Z64" s="4">
        <v>1</v>
      </c>
      <c r="AB64" s="1">
        <v>0.9</v>
      </c>
      <c r="AC64" s="1">
        <v>50</v>
      </c>
      <c r="AD64" s="1">
        <v>264</v>
      </c>
    </row>
    <row r="65" spans="1:30">
      <c r="A65" s="5" t="s">
        <v>125</v>
      </c>
      <c r="B65" s="1" t="s">
        <v>126</v>
      </c>
      <c r="C65" s="2">
        <f t="shared" si="0"/>
        <v>0.36111111111111105</v>
      </c>
      <c r="D65" s="1" t="s">
        <v>123</v>
      </c>
      <c r="E65" s="1" t="s">
        <v>67</v>
      </c>
      <c r="F65" s="1" t="s">
        <v>40</v>
      </c>
      <c r="J65" s="1">
        <v>2E-3</v>
      </c>
      <c r="K65" s="1">
        <v>4</v>
      </c>
      <c r="N65" s="1">
        <v>3600</v>
      </c>
      <c r="P65" s="1">
        <v>3</v>
      </c>
      <c r="Q65" s="1" t="s">
        <v>47</v>
      </c>
      <c r="R65" s="1">
        <v>1.0800000000000001E-2</v>
      </c>
      <c r="S65" s="1" t="s">
        <v>32</v>
      </c>
      <c r="T65" s="1">
        <v>3.8999999999999998E-3</v>
      </c>
      <c r="U65" s="1" t="s">
        <v>124</v>
      </c>
      <c r="V65" s="1">
        <v>2.9999999999999997E-4</v>
      </c>
      <c r="Y65" s="1">
        <v>4</v>
      </c>
      <c r="Z65" s="4">
        <v>1</v>
      </c>
      <c r="AB65" s="1">
        <v>0.9</v>
      </c>
      <c r="AC65" s="1">
        <v>100</v>
      </c>
      <c r="AD65" s="1">
        <v>281</v>
      </c>
    </row>
    <row r="66" spans="1:30">
      <c r="A66" s="5" t="s">
        <v>121</v>
      </c>
      <c r="B66" s="1" t="s">
        <v>126</v>
      </c>
      <c r="C66" s="2">
        <f t="shared" ref="C66:C129" si="2">T66/R66</f>
        <v>0.72727272727272729</v>
      </c>
      <c r="D66" s="1" t="s">
        <v>123</v>
      </c>
      <c r="E66" s="1" t="s">
        <v>67</v>
      </c>
      <c r="F66" s="1" t="s">
        <v>40</v>
      </c>
      <c r="J66" s="1">
        <v>2E-3</v>
      </c>
      <c r="K66" s="1">
        <v>4</v>
      </c>
      <c r="N66" s="1">
        <v>3600</v>
      </c>
      <c r="P66" s="1">
        <v>3</v>
      </c>
      <c r="Q66" s="1" t="s">
        <v>47</v>
      </c>
      <c r="R66" s="1">
        <v>8.2500000000000004E-3</v>
      </c>
      <c r="S66" s="1" t="s">
        <v>32</v>
      </c>
      <c r="T66" s="1">
        <v>6.0000000000000001E-3</v>
      </c>
      <c r="U66" s="1" t="s">
        <v>124</v>
      </c>
      <c r="V66" s="1">
        <v>7.5000000000000002E-4</v>
      </c>
      <c r="Y66" s="1">
        <v>4</v>
      </c>
      <c r="Z66" s="4">
        <v>1</v>
      </c>
      <c r="AB66" s="1">
        <v>0.9</v>
      </c>
      <c r="AC66" s="1">
        <v>10</v>
      </c>
      <c r="AD66" s="1">
        <v>224</v>
      </c>
    </row>
    <row r="67" spans="1:30">
      <c r="A67" s="5" t="s">
        <v>125</v>
      </c>
      <c r="B67" s="1" t="s">
        <v>126</v>
      </c>
      <c r="C67" s="2">
        <f t="shared" si="2"/>
        <v>0.72727272727272729</v>
      </c>
      <c r="D67" s="1" t="s">
        <v>123</v>
      </c>
      <c r="E67" s="1" t="s">
        <v>67</v>
      </c>
      <c r="F67" s="1" t="s">
        <v>40</v>
      </c>
      <c r="J67" s="1">
        <v>2E-3</v>
      </c>
      <c r="K67" s="1">
        <v>4</v>
      </c>
      <c r="N67" s="1">
        <v>3600</v>
      </c>
      <c r="P67" s="1">
        <v>3</v>
      </c>
      <c r="Q67" s="1" t="s">
        <v>47</v>
      </c>
      <c r="R67" s="1">
        <v>8.2500000000000004E-3</v>
      </c>
      <c r="S67" s="1" t="s">
        <v>32</v>
      </c>
      <c r="T67" s="1">
        <v>6.0000000000000001E-3</v>
      </c>
      <c r="U67" s="1" t="s">
        <v>124</v>
      </c>
      <c r="V67" s="1">
        <v>7.5000000000000002E-4</v>
      </c>
      <c r="Y67" s="1">
        <v>4</v>
      </c>
      <c r="Z67" s="4">
        <v>1</v>
      </c>
      <c r="AB67" s="1">
        <v>0.9</v>
      </c>
      <c r="AC67" s="1">
        <v>50</v>
      </c>
      <c r="AD67" s="1">
        <v>251</v>
      </c>
    </row>
    <row r="68" spans="1:30">
      <c r="A68" s="5" t="s">
        <v>125</v>
      </c>
      <c r="B68" s="1" t="s">
        <v>126</v>
      </c>
      <c r="C68" s="2">
        <f t="shared" si="2"/>
        <v>0.72727272727272729</v>
      </c>
      <c r="D68" s="1" t="s">
        <v>123</v>
      </c>
      <c r="E68" s="1" t="s">
        <v>67</v>
      </c>
      <c r="F68" s="1" t="s">
        <v>40</v>
      </c>
      <c r="J68" s="1">
        <v>2E-3</v>
      </c>
      <c r="K68" s="1">
        <v>4</v>
      </c>
      <c r="N68" s="1">
        <v>3600</v>
      </c>
      <c r="P68" s="1">
        <v>3</v>
      </c>
      <c r="Q68" s="1" t="s">
        <v>47</v>
      </c>
      <c r="R68" s="1">
        <v>8.2500000000000004E-3</v>
      </c>
      <c r="S68" s="1" t="s">
        <v>32</v>
      </c>
      <c r="T68" s="1">
        <v>6.0000000000000001E-3</v>
      </c>
      <c r="U68" s="1" t="s">
        <v>124</v>
      </c>
      <c r="V68" s="1">
        <v>7.5000000000000002E-4</v>
      </c>
      <c r="Y68" s="1">
        <v>4</v>
      </c>
      <c r="Z68" s="4">
        <v>1</v>
      </c>
      <c r="AB68" s="1">
        <v>0.9</v>
      </c>
      <c r="AC68" s="1">
        <v>100</v>
      </c>
      <c r="AD68" s="1">
        <v>266</v>
      </c>
    </row>
    <row r="69" spans="1:30">
      <c r="A69" s="5" t="s">
        <v>127</v>
      </c>
      <c r="B69" s="1" t="s">
        <v>126</v>
      </c>
      <c r="C69" s="2">
        <f t="shared" si="2"/>
        <v>0.29166666666666663</v>
      </c>
      <c r="D69" s="1" t="s">
        <v>123</v>
      </c>
      <c r="E69" s="1" t="s">
        <v>67</v>
      </c>
      <c r="F69" s="1" t="s">
        <v>40</v>
      </c>
      <c r="J69" s="1">
        <v>2E-3</v>
      </c>
      <c r="K69" s="1">
        <v>4</v>
      </c>
      <c r="N69" s="1">
        <v>3600</v>
      </c>
      <c r="P69" s="1">
        <v>3</v>
      </c>
      <c r="Q69" s="1" t="s">
        <v>47</v>
      </c>
      <c r="R69" s="1">
        <v>1.0800000000000001E-2</v>
      </c>
      <c r="S69" s="1" t="s">
        <v>32</v>
      </c>
      <c r="T69" s="1">
        <v>3.15E-3</v>
      </c>
      <c r="U69" s="1" t="s">
        <v>124</v>
      </c>
      <c r="V69" s="1">
        <v>1.0499999999999999E-3</v>
      </c>
      <c r="Y69" s="1">
        <v>4</v>
      </c>
      <c r="Z69" s="4">
        <v>1</v>
      </c>
      <c r="AB69" s="1">
        <v>0.9</v>
      </c>
      <c r="AC69" s="1">
        <v>10</v>
      </c>
      <c r="AD69" s="1">
        <v>225</v>
      </c>
    </row>
    <row r="70" spans="1:30">
      <c r="A70" s="5" t="s">
        <v>125</v>
      </c>
      <c r="B70" s="1" t="s">
        <v>126</v>
      </c>
      <c r="C70" s="2">
        <f t="shared" si="2"/>
        <v>0.29166666666666663</v>
      </c>
      <c r="D70" s="1" t="s">
        <v>123</v>
      </c>
      <c r="E70" s="3" t="s">
        <v>57</v>
      </c>
      <c r="F70" s="1" t="s">
        <v>40</v>
      </c>
      <c r="J70" s="1">
        <v>2E-3</v>
      </c>
      <c r="K70" s="1">
        <v>4</v>
      </c>
      <c r="N70" s="1">
        <v>3600</v>
      </c>
      <c r="P70" s="1">
        <v>3</v>
      </c>
      <c r="Q70" s="1" t="s">
        <v>47</v>
      </c>
      <c r="R70" s="1">
        <v>1.0800000000000001E-2</v>
      </c>
      <c r="S70" s="1" t="s">
        <v>32</v>
      </c>
      <c r="T70" s="1">
        <v>3.15E-3</v>
      </c>
      <c r="U70" s="1" t="s">
        <v>124</v>
      </c>
      <c r="V70" s="1">
        <v>1.0499999999999999E-3</v>
      </c>
      <c r="Y70" s="1">
        <v>4</v>
      </c>
      <c r="Z70" s="4">
        <v>1</v>
      </c>
      <c r="AB70" s="1">
        <v>0.9</v>
      </c>
      <c r="AC70" s="1">
        <v>50</v>
      </c>
      <c r="AD70" s="1">
        <v>255</v>
      </c>
    </row>
    <row r="71" spans="1:30">
      <c r="A71" s="5" t="s">
        <v>125</v>
      </c>
      <c r="B71" s="1" t="s">
        <v>126</v>
      </c>
      <c r="C71" s="2">
        <f t="shared" si="2"/>
        <v>0.29166666666666663</v>
      </c>
      <c r="D71" s="1" t="s">
        <v>123</v>
      </c>
      <c r="E71" s="3" t="s">
        <v>128</v>
      </c>
      <c r="F71" s="1" t="s">
        <v>40</v>
      </c>
      <c r="J71" s="1">
        <v>2E-3</v>
      </c>
      <c r="K71" s="1">
        <v>4</v>
      </c>
      <c r="N71" s="1">
        <v>3600</v>
      </c>
      <c r="P71" s="1">
        <v>3</v>
      </c>
      <c r="Q71" s="1" t="s">
        <v>47</v>
      </c>
      <c r="R71" s="1">
        <v>1.0800000000000001E-2</v>
      </c>
      <c r="S71" s="1" t="s">
        <v>32</v>
      </c>
      <c r="T71" s="1">
        <v>3.15E-3</v>
      </c>
      <c r="U71" s="1" t="s">
        <v>124</v>
      </c>
      <c r="V71" s="1">
        <v>1.0499999999999999E-3</v>
      </c>
      <c r="Y71" s="1">
        <v>4</v>
      </c>
      <c r="Z71" s="4">
        <v>1</v>
      </c>
      <c r="AB71" s="1">
        <v>0.9</v>
      </c>
      <c r="AC71" s="1">
        <v>100</v>
      </c>
      <c r="AD71" s="1">
        <v>272</v>
      </c>
    </row>
    <row r="72" spans="1:30">
      <c r="A72" s="6" t="s">
        <v>129</v>
      </c>
      <c r="B72" s="1" t="s">
        <v>45</v>
      </c>
      <c r="C72" s="2">
        <f t="shared" si="2"/>
        <v>1</v>
      </c>
      <c r="E72" s="3" t="s">
        <v>35</v>
      </c>
      <c r="F72" s="1" t="s">
        <v>40</v>
      </c>
      <c r="J72" s="1">
        <v>0.01</v>
      </c>
      <c r="K72" s="1">
        <v>1</v>
      </c>
      <c r="N72" s="1">
        <v>60</v>
      </c>
      <c r="O72" s="1">
        <v>25</v>
      </c>
      <c r="P72" s="1">
        <v>2</v>
      </c>
      <c r="Q72" s="1" t="s">
        <v>31</v>
      </c>
      <c r="R72" s="1">
        <v>8.0000000000000002E-3</v>
      </c>
      <c r="S72" s="1" t="s">
        <v>58</v>
      </c>
      <c r="T72" s="1">
        <v>8.0000000000000002E-3</v>
      </c>
      <c r="Y72" s="1">
        <v>5</v>
      </c>
      <c r="Z72" s="4">
        <v>1</v>
      </c>
      <c r="AB72" s="1">
        <v>1</v>
      </c>
      <c r="AC72" s="1">
        <v>10</v>
      </c>
      <c r="AD72" s="1">
        <v>260</v>
      </c>
    </row>
    <row r="73" spans="1:30">
      <c r="A73" s="5" t="s">
        <v>130</v>
      </c>
      <c r="B73" s="1" t="s">
        <v>131</v>
      </c>
      <c r="C73" s="2">
        <f t="shared" si="2"/>
        <v>10</v>
      </c>
      <c r="E73" s="3" t="s">
        <v>128</v>
      </c>
      <c r="F73" s="1" t="s">
        <v>40</v>
      </c>
      <c r="J73" s="1">
        <v>0.39</v>
      </c>
      <c r="K73" s="1">
        <v>1</v>
      </c>
      <c r="N73" s="1">
        <v>240</v>
      </c>
      <c r="P73" s="1">
        <v>2</v>
      </c>
      <c r="Q73" s="1" t="s">
        <v>31</v>
      </c>
      <c r="R73" s="1">
        <v>0.05</v>
      </c>
      <c r="S73" s="1" t="s">
        <v>58</v>
      </c>
      <c r="T73" s="1">
        <v>0.5</v>
      </c>
      <c r="Y73" s="1">
        <v>5</v>
      </c>
      <c r="Z73" s="4">
        <v>1</v>
      </c>
      <c r="AA73" s="1">
        <v>25</v>
      </c>
      <c r="AB73" s="1">
        <v>0.9</v>
      </c>
      <c r="AC73" s="1">
        <v>100</v>
      </c>
      <c r="AD73" s="1">
        <v>209</v>
      </c>
    </row>
    <row r="74" spans="1:30">
      <c r="A74" s="5" t="s">
        <v>130</v>
      </c>
      <c r="B74" s="1" t="s">
        <v>131</v>
      </c>
      <c r="C74" s="2">
        <f t="shared" si="2"/>
        <v>2.5</v>
      </c>
      <c r="E74" s="3" t="s">
        <v>114</v>
      </c>
      <c r="F74" s="1" t="s">
        <v>40</v>
      </c>
      <c r="J74" s="1">
        <v>0.39</v>
      </c>
      <c r="K74" s="1">
        <v>1</v>
      </c>
      <c r="N74" s="1">
        <v>240</v>
      </c>
      <c r="P74" s="1">
        <v>2</v>
      </c>
      <c r="Q74" s="1" t="s">
        <v>31</v>
      </c>
      <c r="R74" s="1">
        <v>0.2</v>
      </c>
      <c r="S74" s="1" t="s">
        <v>58</v>
      </c>
      <c r="T74" s="1">
        <v>0.5</v>
      </c>
      <c r="Y74" s="1">
        <v>5</v>
      </c>
      <c r="Z74" s="4">
        <v>1</v>
      </c>
      <c r="AA74" s="1">
        <v>25</v>
      </c>
      <c r="AB74" s="1">
        <v>0.9</v>
      </c>
      <c r="AC74" s="1">
        <v>10</v>
      </c>
      <c r="AD74" s="1">
        <v>201</v>
      </c>
    </row>
    <row r="75" spans="1:30">
      <c r="A75" s="5" t="s">
        <v>130</v>
      </c>
      <c r="B75" s="1" t="s">
        <v>131</v>
      </c>
      <c r="C75" s="2">
        <f t="shared" si="2"/>
        <v>2.5</v>
      </c>
      <c r="E75" s="3" t="s">
        <v>57</v>
      </c>
      <c r="F75" s="1" t="s">
        <v>40</v>
      </c>
      <c r="J75" s="1">
        <v>0.39</v>
      </c>
      <c r="K75" s="1">
        <v>1</v>
      </c>
      <c r="N75" s="1">
        <v>240</v>
      </c>
      <c r="P75" s="1">
        <v>2</v>
      </c>
      <c r="Q75" s="1" t="s">
        <v>31</v>
      </c>
      <c r="R75" s="1">
        <v>0.2</v>
      </c>
      <c r="S75" s="1" t="s">
        <v>58</v>
      </c>
      <c r="T75" s="1">
        <v>0.5</v>
      </c>
      <c r="Y75" s="1">
        <v>5</v>
      </c>
      <c r="Z75" s="4">
        <v>1</v>
      </c>
      <c r="AA75" s="1">
        <v>25</v>
      </c>
      <c r="AB75" s="1">
        <v>0.9</v>
      </c>
      <c r="AC75" s="1">
        <v>100</v>
      </c>
      <c r="AD75" s="1">
        <v>234</v>
      </c>
    </row>
    <row r="76" spans="1:30">
      <c r="A76" s="5" t="s">
        <v>127</v>
      </c>
      <c r="B76" s="3" t="s">
        <v>132</v>
      </c>
      <c r="C76" s="2">
        <f t="shared" si="2"/>
        <v>0.72413793103448276</v>
      </c>
      <c r="E76" s="3" t="s">
        <v>128</v>
      </c>
      <c r="F76" s="1" t="s">
        <v>40</v>
      </c>
      <c r="J76" s="1">
        <v>2E-3</v>
      </c>
      <c r="K76" s="1">
        <v>4</v>
      </c>
      <c r="N76" s="1">
        <v>3600</v>
      </c>
      <c r="P76" s="1">
        <v>3</v>
      </c>
      <c r="Q76" s="1" t="s">
        <v>47</v>
      </c>
      <c r="R76" s="1">
        <v>8.6999999999999994E-3</v>
      </c>
      <c r="S76" s="1" t="s">
        <v>32</v>
      </c>
      <c r="T76" s="1">
        <v>6.3E-3</v>
      </c>
      <c r="Y76" s="1">
        <v>4</v>
      </c>
      <c r="Z76" s="4">
        <v>1</v>
      </c>
      <c r="AB76" s="1">
        <v>0.9</v>
      </c>
      <c r="AC76" s="1">
        <v>10</v>
      </c>
      <c r="AD76" s="1">
        <v>262</v>
      </c>
    </row>
    <row r="77" spans="1:30">
      <c r="A77" s="5" t="s">
        <v>125</v>
      </c>
      <c r="B77" s="3" t="s">
        <v>132</v>
      </c>
      <c r="C77" s="2">
        <f t="shared" si="2"/>
        <v>0.72413793103448276</v>
      </c>
      <c r="E77" s="1" t="s">
        <v>67</v>
      </c>
      <c r="F77" s="1" t="s">
        <v>40</v>
      </c>
      <c r="J77" s="1">
        <v>2E-3</v>
      </c>
      <c r="K77" s="1">
        <v>4</v>
      </c>
      <c r="N77" s="1">
        <v>3600</v>
      </c>
      <c r="P77" s="1">
        <v>3</v>
      </c>
      <c r="Q77" s="1" t="s">
        <v>47</v>
      </c>
      <c r="R77" s="1">
        <v>8.6999999999999994E-3</v>
      </c>
      <c r="S77" s="1" t="s">
        <v>32</v>
      </c>
      <c r="T77" s="1">
        <v>6.3E-3</v>
      </c>
      <c r="Y77" s="1">
        <v>4</v>
      </c>
      <c r="Z77" s="4">
        <v>1</v>
      </c>
      <c r="AB77" s="1">
        <v>0.9</v>
      </c>
      <c r="AC77" s="1">
        <v>50</v>
      </c>
      <c r="AD77" s="1">
        <v>297</v>
      </c>
    </row>
    <row r="78" spans="1:30">
      <c r="A78" s="5" t="s">
        <v>125</v>
      </c>
      <c r="B78" s="3" t="s">
        <v>133</v>
      </c>
      <c r="C78" s="2">
        <f t="shared" si="2"/>
        <v>0.72413793103448276</v>
      </c>
      <c r="E78" s="1" t="s">
        <v>67</v>
      </c>
      <c r="F78" s="1" t="s">
        <v>40</v>
      </c>
      <c r="J78" s="1">
        <v>2E-3</v>
      </c>
      <c r="K78" s="1">
        <v>4</v>
      </c>
      <c r="N78" s="1">
        <v>3600</v>
      </c>
      <c r="P78" s="1">
        <v>3</v>
      </c>
      <c r="Q78" s="1" t="s">
        <v>47</v>
      </c>
      <c r="R78" s="1">
        <v>8.6999999999999994E-3</v>
      </c>
      <c r="S78" s="1" t="s">
        <v>32</v>
      </c>
      <c r="T78" s="1">
        <v>6.3E-3</v>
      </c>
      <c r="Y78" s="1">
        <v>4</v>
      </c>
      <c r="Z78" s="4">
        <v>1</v>
      </c>
      <c r="AB78" s="1">
        <v>0.9</v>
      </c>
      <c r="AC78" s="1">
        <v>100</v>
      </c>
      <c r="AD78" s="1">
        <v>318</v>
      </c>
    </row>
    <row r="79" spans="1:30">
      <c r="A79" s="7" t="s">
        <v>50</v>
      </c>
      <c r="B79" s="1" t="s">
        <v>27</v>
      </c>
      <c r="C79" s="2">
        <f t="shared" si="2"/>
        <v>4</v>
      </c>
      <c r="D79" s="1" t="s">
        <v>28</v>
      </c>
      <c r="E79" s="3" t="s">
        <v>118</v>
      </c>
      <c r="F79" s="1" t="s">
        <v>51</v>
      </c>
      <c r="H79" s="1">
        <v>-0.2</v>
      </c>
      <c r="I79" s="1">
        <v>-1</v>
      </c>
      <c r="L79" s="1">
        <v>5</v>
      </c>
      <c r="M79" s="1">
        <v>40</v>
      </c>
      <c r="N79" s="1">
        <f>(H79-I79)*1000/L79*M79</f>
        <v>6400</v>
      </c>
      <c r="P79" s="1">
        <v>3</v>
      </c>
      <c r="Q79" s="3" t="s">
        <v>134</v>
      </c>
      <c r="R79" s="1">
        <v>5.0000000000000002E-5</v>
      </c>
      <c r="S79" s="1" t="s">
        <v>42</v>
      </c>
      <c r="T79" s="1">
        <v>2.0000000000000001E-4</v>
      </c>
      <c r="U79" s="1" t="s">
        <v>53</v>
      </c>
      <c r="V79" s="1">
        <v>5.0000000000000002E-5</v>
      </c>
      <c r="Y79" s="1">
        <v>3</v>
      </c>
      <c r="Z79" s="4">
        <v>1</v>
      </c>
      <c r="AC79" s="1">
        <v>10</v>
      </c>
      <c r="AD79" s="1">
        <v>297</v>
      </c>
    </row>
    <row r="80" spans="1:30">
      <c r="A80" s="7" t="s">
        <v>50</v>
      </c>
      <c r="B80" s="1" t="s">
        <v>27</v>
      </c>
      <c r="C80" s="2">
        <f t="shared" si="2"/>
        <v>2</v>
      </c>
      <c r="D80" s="1" t="s">
        <v>28</v>
      </c>
      <c r="E80" s="3" t="s">
        <v>135</v>
      </c>
      <c r="F80" s="1" t="s">
        <v>51</v>
      </c>
      <c r="H80" s="1">
        <v>-0.2</v>
      </c>
      <c r="I80" s="1">
        <v>-1</v>
      </c>
      <c r="L80" s="1">
        <v>5</v>
      </c>
      <c r="M80" s="1">
        <v>40</v>
      </c>
      <c r="N80" s="1">
        <f>(H80-I80)*1000/L80*M80</f>
        <v>6400</v>
      </c>
      <c r="P80" s="1">
        <v>3</v>
      </c>
      <c r="Q80" s="3" t="s">
        <v>136</v>
      </c>
      <c r="R80" s="1">
        <v>5.0000000000000002E-5</v>
      </c>
      <c r="S80" s="1" t="s">
        <v>42</v>
      </c>
      <c r="T80" s="1">
        <v>1E-4</v>
      </c>
      <c r="U80" s="1" t="s">
        <v>53</v>
      </c>
      <c r="V80" s="1">
        <v>1E-4</v>
      </c>
      <c r="Y80" s="1">
        <v>3</v>
      </c>
      <c r="Z80" s="4">
        <v>1</v>
      </c>
      <c r="AC80" s="1">
        <v>10</v>
      </c>
      <c r="AD80" s="1">
        <v>327</v>
      </c>
    </row>
    <row r="81" spans="1:30">
      <c r="A81" s="6" t="s">
        <v>69</v>
      </c>
      <c r="B81" s="1" t="s">
        <v>45</v>
      </c>
      <c r="C81" s="2">
        <f t="shared" si="2"/>
        <v>1</v>
      </c>
      <c r="E81" s="1" t="s">
        <v>67</v>
      </c>
      <c r="F81" s="1" t="s">
        <v>51</v>
      </c>
      <c r="H81" s="1">
        <v>-1.2</v>
      </c>
      <c r="I81" s="1">
        <v>0.2</v>
      </c>
      <c r="K81" s="1">
        <v>1</v>
      </c>
      <c r="L81" s="1">
        <v>5</v>
      </c>
      <c r="M81" s="1">
        <v>8</v>
      </c>
      <c r="N81" s="1">
        <f>(I81-H81)*1000/L81*M81</f>
        <v>2240</v>
      </c>
      <c r="P81" s="1">
        <v>3</v>
      </c>
      <c r="Q81" s="1" t="s">
        <v>41</v>
      </c>
      <c r="R81" s="1">
        <v>3.0000000000000001E-3</v>
      </c>
      <c r="S81" s="1" t="s">
        <v>42</v>
      </c>
      <c r="T81" s="1">
        <v>3.0000000000000001E-3</v>
      </c>
      <c r="Y81" s="1">
        <v>2.5</v>
      </c>
      <c r="Z81" s="4">
        <v>1</v>
      </c>
      <c r="AB81" s="1">
        <v>0.95</v>
      </c>
      <c r="AC81" s="1">
        <v>20</v>
      </c>
      <c r="AD81" s="1">
        <v>252</v>
      </c>
    </row>
    <row r="82" spans="1:30">
      <c r="A82" s="6" t="s">
        <v>69</v>
      </c>
      <c r="B82" s="1" t="s">
        <v>45</v>
      </c>
      <c r="C82" s="2">
        <f t="shared" si="2"/>
        <v>1</v>
      </c>
      <c r="E82" s="1" t="s">
        <v>67</v>
      </c>
      <c r="F82" s="1" t="s">
        <v>51</v>
      </c>
      <c r="H82" s="1">
        <v>-1.2</v>
      </c>
      <c r="I82" s="1">
        <v>0.2</v>
      </c>
      <c r="K82" s="1">
        <v>1</v>
      </c>
      <c r="L82" s="1">
        <v>5</v>
      </c>
      <c r="M82" s="1">
        <v>8</v>
      </c>
      <c r="N82" s="1">
        <f>(I82-H82)*1000/L82*M82</f>
        <v>2240</v>
      </c>
      <c r="P82" s="1">
        <v>3</v>
      </c>
      <c r="Q82" s="1" t="s">
        <v>41</v>
      </c>
      <c r="R82" s="1">
        <v>3.0000000000000001E-3</v>
      </c>
      <c r="S82" s="1" t="s">
        <v>42</v>
      </c>
      <c r="T82" s="1">
        <v>3.0000000000000001E-3</v>
      </c>
      <c r="Y82" s="1">
        <v>2.5</v>
      </c>
      <c r="Z82" s="4">
        <v>1</v>
      </c>
      <c r="AB82" s="1">
        <v>0.95</v>
      </c>
      <c r="AC82" s="1">
        <v>50</v>
      </c>
      <c r="AD82" s="1">
        <v>272</v>
      </c>
    </row>
    <row r="83" spans="1:30" ht="15.75">
      <c r="A83" s="5" t="s">
        <v>137</v>
      </c>
      <c r="B83" s="1" t="s">
        <v>89</v>
      </c>
      <c r="C83" s="2">
        <f t="shared" si="2"/>
        <v>3.5185185185185186</v>
      </c>
      <c r="E83" s="1" t="s">
        <v>67</v>
      </c>
      <c r="F83" s="1" t="s">
        <v>40</v>
      </c>
      <c r="J83" s="1">
        <v>0.02</v>
      </c>
      <c r="K83" s="1">
        <v>1</v>
      </c>
      <c r="N83" s="1">
        <v>3600</v>
      </c>
      <c r="O83" s="1">
        <v>40</v>
      </c>
      <c r="P83" s="1">
        <v>2</v>
      </c>
      <c r="Q83" s="1" t="s">
        <v>31</v>
      </c>
      <c r="R83" s="1">
        <v>0.108</v>
      </c>
      <c r="S83" s="1" t="s">
        <v>58</v>
      </c>
      <c r="T83" s="1">
        <v>0.38</v>
      </c>
      <c r="U83" s="13"/>
      <c r="Y83" s="1">
        <v>4</v>
      </c>
      <c r="Z83" s="4">
        <v>0.3</v>
      </c>
      <c r="AC83" s="1">
        <v>10</v>
      </c>
      <c r="AD83" s="1">
        <v>333</v>
      </c>
    </row>
    <row r="84" spans="1:30">
      <c r="A84" s="5" t="s">
        <v>138</v>
      </c>
      <c r="B84" s="1" t="s">
        <v>45</v>
      </c>
      <c r="C84" s="2">
        <f t="shared" si="2"/>
        <v>19.791666666666668</v>
      </c>
      <c r="E84" s="1" t="s">
        <v>67</v>
      </c>
      <c r="F84" s="1" t="s">
        <v>40</v>
      </c>
      <c r="J84" s="1">
        <v>0.6</v>
      </c>
      <c r="K84" s="1">
        <v>1</v>
      </c>
      <c r="N84" s="1">
        <v>120</v>
      </c>
      <c r="O84" s="1">
        <v>30</v>
      </c>
      <c r="P84" s="1">
        <v>2</v>
      </c>
      <c r="Q84" s="1" t="s">
        <v>31</v>
      </c>
      <c r="R84" s="1">
        <v>1.9199999999999998E-2</v>
      </c>
      <c r="S84" s="1" t="s">
        <v>58</v>
      </c>
      <c r="T84" s="1">
        <v>0.38</v>
      </c>
      <c r="Y84" s="1">
        <v>4</v>
      </c>
      <c r="Z84" s="4">
        <v>0.3</v>
      </c>
      <c r="AC84" s="1">
        <v>10</v>
      </c>
      <c r="AD84" s="1">
        <v>334</v>
      </c>
    </row>
    <row r="85" spans="1:30">
      <c r="A85" s="5" t="s">
        <v>102</v>
      </c>
      <c r="B85" s="1" t="s">
        <v>65</v>
      </c>
      <c r="C85" s="2">
        <f t="shared" si="2"/>
        <v>10</v>
      </c>
      <c r="D85" s="1" t="s">
        <v>66</v>
      </c>
      <c r="E85" s="3" t="s">
        <v>139</v>
      </c>
      <c r="F85" s="1" t="s">
        <v>40</v>
      </c>
      <c r="J85" s="1">
        <v>0.06</v>
      </c>
      <c r="K85" s="1">
        <v>1</v>
      </c>
      <c r="N85" s="1">
        <v>3600</v>
      </c>
      <c r="O85" s="1">
        <v>25</v>
      </c>
      <c r="P85" s="1">
        <v>2</v>
      </c>
      <c r="Q85" s="1" t="s">
        <v>94</v>
      </c>
      <c r="R85" s="1">
        <v>0.01</v>
      </c>
      <c r="S85" s="1" t="s">
        <v>42</v>
      </c>
      <c r="T85" s="1">
        <v>0.1</v>
      </c>
      <c r="U85" s="1" t="s">
        <v>68</v>
      </c>
      <c r="V85" s="1">
        <v>0.02</v>
      </c>
      <c r="Y85" s="1">
        <v>6</v>
      </c>
      <c r="Z85" s="4">
        <v>1</v>
      </c>
      <c r="AC85" s="1">
        <v>20</v>
      </c>
      <c r="AD85" s="1">
        <v>357</v>
      </c>
    </row>
    <row r="86" spans="1:30">
      <c r="A86" s="5" t="s">
        <v>102</v>
      </c>
      <c r="B86" s="1" t="s">
        <v>65</v>
      </c>
      <c r="C86" s="2">
        <f t="shared" si="2"/>
        <v>16.666666666666668</v>
      </c>
      <c r="D86" s="1" t="s">
        <v>66</v>
      </c>
      <c r="E86" s="3" t="s">
        <v>98</v>
      </c>
      <c r="F86" s="1" t="s">
        <v>40</v>
      </c>
      <c r="J86" s="1">
        <v>0.04</v>
      </c>
      <c r="K86" s="1">
        <v>1</v>
      </c>
      <c r="N86" s="1">
        <v>3600</v>
      </c>
      <c r="O86" s="1">
        <v>25</v>
      </c>
      <c r="P86" s="1">
        <v>2</v>
      </c>
      <c r="Q86" s="1" t="s">
        <v>94</v>
      </c>
      <c r="R86" s="1">
        <v>6.0000000000000001E-3</v>
      </c>
      <c r="S86" s="1" t="s">
        <v>42</v>
      </c>
      <c r="T86" s="1">
        <v>0.1</v>
      </c>
      <c r="U86" s="1" t="s">
        <v>68</v>
      </c>
      <c r="V86" s="1">
        <v>0.02</v>
      </c>
      <c r="Y86" s="1">
        <v>6</v>
      </c>
      <c r="Z86" s="4">
        <v>1</v>
      </c>
      <c r="AC86" s="1">
        <v>20</v>
      </c>
      <c r="AD86" s="1">
        <v>359</v>
      </c>
    </row>
    <row r="87" spans="1:30">
      <c r="A87" s="5" t="s">
        <v>102</v>
      </c>
      <c r="B87" s="1" t="s">
        <v>65</v>
      </c>
      <c r="C87" s="2">
        <f t="shared" si="2"/>
        <v>16.666666666666668</v>
      </c>
      <c r="D87" s="1" t="s">
        <v>66</v>
      </c>
      <c r="E87" s="3" t="s">
        <v>139</v>
      </c>
      <c r="F87" s="1" t="s">
        <v>40</v>
      </c>
      <c r="J87" s="1">
        <v>0.06</v>
      </c>
      <c r="K87" s="1">
        <v>1</v>
      </c>
      <c r="N87" s="1">
        <v>3600</v>
      </c>
      <c r="O87" s="1">
        <v>25</v>
      </c>
      <c r="P87" s="1">
        <v>2</v>
      </c>
      <c r="Q87" s="1" t="s">
        <v>94</v>
      </c>
      <c r="R87" s="1">
        <v>6.0000000000000001E-3</v>
      </c>
      <c r="S87" s="1" t="s">
        <v>42</v>
      </c>
      <c r="T87" s="1">
        <v>0.1</v>
      </c>
      <c r="U87" s="1" t="s">
        <v>68</v>
      </c>
      <c r="V87" s="1">
        <v>0.02</v>
      </c>
      <c r="Y87" s="1">
        <v>6</v>
      </c>
      <c r="Z87" s="4">
        <v>1</v>
      </c>
      <c r="AC87" s="1">
        <v>20</v>
      </c>
      <c r="AD87" s="1">
        <v>360</v>
      </c>
    </row>
    <row r="88" spans="1:30">
      <c r="A88" s="5" t="s">
        <v>140</v>
      </c>
      <c r="B88" s="3" t="s">
        <v>141</v>
      </c>
      <c r="C88" s="2">
        <f t="shared" si="2"/>
        <v>5.9999999999999991</v>
      </c>
      <c r="D88" s="1" t="s">
        <v>97</v>
      </c>
      <c r="E88" s="3" t="s">
        <v>104</v>
      </c>
      <c r="F88" s="1" t="s">
        <v>40</v>
      </c>
      <c r="J88" s="1">
        <v>0.5</v>
      </c>
      <c r="K88" s="1">
        <v>2</v>
      </c>
      <c r="N88" s="1">
        <v>30</v>
      </c>
      <c r="P88" s="1">
        <v>2</v>
      </c>
      <c r="Q88" s="1" t="s">
        <v>31</v>
      </c>
      <c r="R88" s="1">
        <v>0.05</v>
      </c>
      <c r="S88" s="1" t="s">
        <v>58</v>
      </c>
      <c r="T88" s="1">
        <v>0.3</v>
      </c>
      <c r="U88" s="1" t="s">
        <v>142</v>
      </c>
      <c r="V88" s="1">
        <v>0.3</v>
      </c>
      <c r="Y88" s="1">
        <v>2</v>
      </c>
      <c r="Z88" s="4">
        <v>1</v>
      </c>
      <c r="AB88" s="1">
        <v>0.9</v>
      </c>
      <c r="AC88" s="1">
        <v>10</v>
      </c>
      <c r="AD88" s="1">
        <v>360</v>
      </c>
    </row>
    <row r="89" spans="1:30">
      <c r="A89" s="6" t="s">
        <v>92</v>
      </c>
      <c r="B89" s="1" t="s">
        <v>45</v>
      </c>
      <c r="C89" s="2">
        <f t="shared" si="2"/>
        <v>4</v>
      </c>
      <c r="E89" s="1" t="s">
        <v>93</v>
      </c>
      <c r="F89" s="1" t="s">
        <v>40</v>
      </c>
      <c r="J89" s="1">
        <v>0.04</v>
      </c>
      <c r="K89" s="1">
        <v>4</v>
      </c>
      <c r="N89" s="1">
        <v>600</v>
      </c>
      <c r="O89" s="1">
        <v>60</v>
      </c>
      <c r="P89" s="1">
        <v>2</v>
      </c>
      <c r="Q89" s="1" t="s">
        <v>94</v>
      </c>
      <c r="R89" s="1">
        <v>0.25</v>
      </c>
      <c r="S89" s="1" t="s">
        <v>42</v>
      </c>
      <c r="T89" s="1">
        <v>1</v>
      </c>
      <c r="Y89" s="1">
        <v>2.5</v>
      </c>
      <c r="Z89" s="4">
        <v>1</v>
      </c>
      <c r="AC89" s="1">
        <v>20</v>
      </c>
      <c r="AD89" s="1">
        <v>360</v>
      </c>
    </row>
    <row r="90" spans="1:30">
      <c r="A90" s="5" t="s">
        <v>100</v>
      </c>
      <c r="B90" s="1" t="s">
        <v>45</v>
      </c>
      <c r="C90" s="2">
        <f t="shared" si="2"/>
        <v>1.5</v>
      </c>
      <c r="E90" s="3" t="s">
        <v>98</v>
      </c>
      <c r="F90" s="1" t="s">
        <v>30</v>
      </c>
      <c r="G90" s="1">
        <v>-1.3</v>
      </c>
      <c r="K90" s="1">
        <v>1</v>
      </c>
      <c r="N90" s="1">
        <v>300</v>
      </c>
      <c r="P90" s="1">
        <v>2</v>
      </c>
      <c r="Q90" s="1" t="s">
        <v>31</v>
      </c>
      <c r="R90" s="1">
        <v>0.02</v>
      </c>
      <c r="S90" s="1" t="s">
        <v>58</v>
      </c>
      <c r="T90" s="1">
        <v>0.03</v>
      </c>
      <c r="Y90" s="1">
        <v>2</v>
      </c>
      <c r="Z90" s="4">
        <v>1</v>
      </c>
      <c r="AC90" s="1">
        <v>15</v>
      </c>
      <c r="AD90" s="1">
        <v>360</v>
      </c>
    </row>
    <row r="91" spans="1:30">
      <c r="A91" s="5" t="s">
        <v>102</v>
      </c>
      <c r="B91" s="1" t="s">
        <v>65</v>
      </c>
      <c r="C91" s="2">
        <f t="shared" si="2"/>
        <v>50</v>
      </c>
      <c r="D91" s="1" t="s">
        <v>66</v>
      </c>
      <c r="E91" s="3" t="s">
        <v>98</v>
      </c>
      <c r="F91" s="1" t="s">
        <v>40</v>
      </c>
      <c r="J91" s="1">
        <v>0.06</v>
      </c>
      <c r="K91" s="1">
        <v>1</v>
      </c>
      <c r="N91" s="1">
        <v>3600</v>
      </c>
      <c r="O91" s="1">
        <v>25</v>
      </c>
      <c r="P91" s="1">
        <v>2</v>
      </c>
      <c r="Q91" s="1" t="s">
        <v>94</v>
      </c>
      <c r="R91" s="1">
        <v>2E-3</v>
      </c>
      <c r="S91" s="1" t="s">
        <v>42</v>
      </c>
      <c r="T91" s="1">
        <v>0.1</v>
      </c>
      <c r="U91" s="1" t="s">
        <v>68</v>
      </c>
      <c r="V91" s="1">
        <v>0.02</v>
      </c>
      <c r="Y91" s="1">
        <v>6</v>
      </c>
      <c r="Z91" s="4">
        <v>1</v>
      </c>
      <c r="AC91" s="1">
        <v>20</v>
      </c>
      <c r="AD91" s="1">
        <v>362</v>
      </c>
    </row>
    <row r="92" spans="1:30">
      <c r="A92" s="5" t="s">
        <v>102</v>
      </c>
      <c r="B92" s="1" t="s">
        <v>65</v>
      </c>
      <c r="C92" s="2">
        <f t="shared" si="2"/>
        <v>16.666666666666668</v>
      </c>
      <c r="D92" s="1" t="s">
        <v>66</v>
      </c>
      <c r="E92" s="3" t="s">
        <v>98</v>
      </c>
      <c r="F92" s="1" t="s">
        <v>40</v>
      </c>
      <c r="J92" s="1">
        <v>0.08</v>
      </c>
      <c r="K92" s="1">
        <v>1</v>
      </c>
      <c r="N92" s="1">
        <v>3600</v>
      </c>
      <c r="O92" s="1">
        <v>25</v>
      </c>
      <c r="P92" s="1">
        <v>2</v>
      </c>
      <c r="Q92" s="1" t="s">
        <v>94</v>
      </c>
      <c r="R92" s="1">
        <v>6.0000000000000001E-3</v>
      </c>
      <c r="S92" s="1" t="s">
        <v>42</v>
      </c>
      <c r="T92" s="1">
        <v>0.1</v>
      </c>
      <c r="U92" s="1" t="s">
        <v>68</v>
      </c>
      <c r="V92" s="1">
        <v>0.02</v>
      </c>
      <c r="Y92" s="1">
        <v>6</v>
      </c>
      <c r="Z92" s="4">
        <v>1</v>
      </c>
      <c r="AC92" s="1">
        <v>20</v>
      </c>
      <c r="AD92" s="1">
        <v>362</v>
      </c>
    </row>
    <row r="93" spans="1:30">
      <c r="A93" s="5" t="s">
        <v>102</v>
      </c>
      <c r="B93" s="1" t="s">
        <v>65</v>
      </c>
      <c r="C93" s="2">
        <f t="shared" si="2"/>
        <v>5.5555555555555562</v>
      </c>
      <c r="D93" s="1" t="s">
        <v>66</v>
      </c>
      <c r="E93" s="3" t="s">
        <v>139</v>
      </c>
      <c r="F93" s="1" t="s">
        <v>40</v>
      </c>
      <c r="J93" s="1">
        <v>0.06</v>
      </c>
      <c r="K93" s="1">
        <v>1</v>
      </c>
      <c r="N93" s="1">
        <v>3600</v>
      </c>
      <c r="O93" s="1">
        <v>25</v>
      </c>
      <c r="P93" s="1">
        <v>2</v>
      </c>
      <c r="Q93" s="1" t="s">
        <v>94</v>
      </c>
      <c r="R93" s="1">
        <v>1.7999999999999999E-2</v>
      </c>
      <c r="S93" s="1" t="s">
        <v>42</v>
      </c>
      <c r="T93" s="1">
        <v>0.1</v>
      </c>
      <c r="U93" s="1" t="s">
        <v>68</v>
      </c>
      <c r="V93" s="1">
        <v>0.02</v>
      </c>
      <c r="Y93" s="1">
        <v>6</v>
      </c>
      <c r="Z93" s="4">
        <v>1</v>
      </c>
      <c r="AC93" s="1">
        <v>20</v>
      </c>
      <c r="AD93" s="1">
        <v>366</v>
      </c>
    </row>
    <row r="94" spans="1:30">
      <c r="A94" s="6" t="s">
        <v>92</v>
      </c>
      <c r="B94" s="1" t="s">
        <v>45</v>
      </c>
      <c r="C94" s="2">
        <f t="shared" si="2"/>
        <v>6.666666666666667</v>
      </c>
      <c r="E94" s="1" t="s">
        <v>93</v>
      </c>
      <c r="F94" s="1" t="s">
        <v>40</v>
      </c>
      <c r="J94" s="1">
        <v>0.04</v>
      </c>
      <c r="K94" s="1">
        <v>4</v>
      </c>
      <c r="N94" s="1">
        <v>600</v>
      </c>
      <c r="O94" s="1">
        <v>60</v>
      </c>
      <c r="P94" s="1">
        <v>2</v>
      </c>
      <c r="Q94" s="1" t="s">
        <v>94</v>
      </c>
      <c r="R94" s="1">
        <v>0.15</v>
      </c>
      <c r="S94" s="1" t="s">
        <v>42</v>
      </c>
      <c r="T94" s="1">
        <v>1</v>
      </c>
      <c r="Y94" s="1">
        <v>2.5</v>
      </c>
      <c r="Z94" s="4">
        <v>1</v>
      </c>
      <c r="AC94" s="1">
        <v>100</v>
      </c>
      <c r="AD94" s="1">
        <v>374</v>
      </c>
    </row>
    <row r="95" spans="1:30">
      <c r="A95" s="5" t="s">
        <v>102</v>
      </c>
      <c r="B95" s="1" t="s">
        <v>65</v>
      </c>
      <c r="C95" s="2">
        <f t="shared" si="2"/>
        <v>7.1428571428571432</v>
      </c>
      <c r="D95" s="1" t="s">
        <v>66</v>
      </c>
      <c r="E95" s="3" t="s">
        <v>139</v>
      </c>
      <c r="F95" s="1" t="s">
        <v>40</v>
      </c>
      <c r="J95" s="1">
        <v>0.06</v>
      </c>
      <c r="K95" s="1">
        <v>1</v>
      </c>
      <c r="N95" s="1">
        <v>3600</v>
      </c>
      <c r="O95" s="1">
        <v>25</v>
      </c>
      <c r="P95" s="1">
        <v>2</v>
      </c>
      <c r="Q95" s="1" t="s">
        <v>94</v>
      </c>
      <c r="R95" s="1">
        <v>1.4E-2</v>
      </c>
      <c r="S95" s="1" t="s">
        <v>42</v>
      </c>
      <c r="T95" s="1">
        <v>0.1</v>
      </c>
      <c r="U95" s="1" t="s">
        <v>68</v>
      </c>
      <c r="V95" s="1">
        <v>0.02</v>
      </c>
      <c r="Y95" s="1">
        <v>6</v>
      </c>
      <c r="Z95" s="4">
        <v>1</v>
      </c>
      <c r="AC95" s="1">
        <v>20</v>
      </c>
      <c r="AD95" s="1">
        <v>376</v>
      </c>
    </row>
    <row r="96" spans="1:30">
      <c r="A96" s="5" t="s">
        <v>92</v>
      </c>
      <c r="B96" s="1" t="s">
        <v>45</v>
      </c>
      <c r="C96" s="2">
        <f t="shared" si="2"/>
        <v>5</v>
      </c>
      <c r="E96" s="1" t="s">
        <v>93</v>
      </c>
      <c r="F96" s="1" t="s">
        <v>40</v>
      </c>
      <c r="J96" s="1">
        <v>0.04</v>
      </c>
      <c r="K96" s="1">
        <v>4</v>
      </c>
      <c r="N96" s="1">
        <v>600</v>
      </c>
      <c r="O96" s="1">
        <v>60</v>
      </c>
      <c r="P96" s="1">
        <v>2</v>
      </c>
      <c r="Q96" s="1" t="s">
        <v>94</v>
      </c>
      <c r="R96" s="1">
        <v>0.2</v>
      </c>
      <c r="S96" s="1" t="s">
        <v>42</v>
      </c>
      <c r="T96" s="1">
        <v>1</v>
      </c>
      <c r="Y96" s="1">
        <v>2.5</v>
      </c>
      <c r="Z96" s="4">
        <v>1</v>
      </c>
      <c r="AC96" s="1">
        <v>100</v>
      </c>
      <c r="AD96" s="1">
        <v>381</v>
      </c>
    </row>
    <row r="97" spans="1:30">
      <c r="A97" s="6" t="s">
        <v>92</v>
      </c>
      <c r="B97" s="1" t="s">
        <v>45</v>
      </c>
      <c r="C97" s="2">
        <f t="shared" si="2"/>
        <v>10</v>
      </c>
      <c r="E97" s="1" t="s">
        <v>93</v>
      </c>
      <c r="F97" s="1" t="s">
        <v>40</v>
      </c>
      <c r="J97" s="1">
        <v>0.04</v>
      </c>
      <c r="K97" s="1">
        <v>4</v>
      </c>
      <c r="N97" s="1">
        <v>600</v>
      </c>
      <c r="O97" s="1">
        <v>60</v>
      </c>
      <c r="P97" s="1">
        <v>2</v>
      </c>
      <c r="Q97" s="1" t="s">
        <v>94</v>
      </c>
      <c r="R97" s="1">
        <v>0.1</v>
      </c>
      <c r="S97" s="1" t="s">
        <v>42</v>
      </c>
      <c r="T97" s="1">
        <v>1</v>
      </c>
      <c r="Y97" s="1">
        <v>2.5</v>
      </c>
      <c r="Z97" s="4">
        <v>1</v>
      </c>
      <c r="AC97" s="1">
        <v>100</v>
      </c>
      <c r="AD97" s="1">
        <v>388</v>
      </c>
    </row>
    <row r="98" spans="1:30">
      <c r="A98" s="5" t="s">
        <v>102</v>
      </c>
      <c r="B98" s="1" t="s">
        <v>65</v>
      </c>
      <c r="C98" s="2">
        <f t="shared" si="2"/>
        <v>10</v>
      </c>
      <c r="D98" s="1" t="s">
        <v>66</v>
      </c>
      <c r="E98" s="3" t="s">
        <v>98</v>
      </c>
      <c r="F98" s="1" t="s">
        <v>40</v>
      </c>
      <c r="J98" s="1">
        <v>0.06</v>
      </c>
      <c r="K98" s="1">
        <v>1</v>
      </c>
      <c r="N98" s="1">
        <v>3600</v>
      </c>
      <c r="O98" s="1">
        <v>25</v>
      </c>
      <c r="P98" s="1">
        <v>2</v>
      </c>
      <c r="Q98" s="1" t="s">
        <v>94</v>
      </c>
      <c r="R98" s="1">
        <v>0.01</v>
      </c>
      <c r="S98" s="1" t="s">
        <v>42</v>
      </c>
      <c r="T98" s="1">
        <v>0.1</v>
      </c>
      <c r="U98" s="1" t="s">
        <v>68</v>
      </c>
      <c r="V98" s="1">
        <v>0.02</v>
      </c>
      <c r="Y98" s="1">
        <v>6</v>
      </c>
      <c r="Z98" s="4">
        <v>1</v>
      </c>
      <c r="AC98" s="1">
        <v>100</v>
      </c>
      <c r="AD98" s="1">
        <v>402</v>
      </c>
    </row>
    <row r="99" spans="1:30">
      <c r="A99" s="5" t="s">
        <v>95</v>
      </c>
      <c r="B99" s="1" t="s">
        <v>45</v>
      </c>
      <c r="C99" s="2">
        <f t="shared" si="2"/>
        <v>2.9583333333333335</v>
      </c>
      <c r="E99" s="3" t="s">
        <v>98</v>
      </c>
      <c r="F99" s="1" t="s">
        <v>40</v>
      </c>
      <c r="J99" s="1">
        <v>0.04</v>
      </c>
      <c r="K99" s="1">
        <v>1</v>
      </c>
      <c r="N99" s="1">
        <v>3600</v>
      </c>
      <c r="O99" s="1">
        <v>40</v>
      </c>
      <c r="P99" s="1">
        <v>2</v>
      </c>
      <c r="Q99" s="1" t="s">
        <v>31</v>
      </c>
      <c r="R99" s="1">
        <v>3.5999999999999997E-2</v>
      </c>
      <c r="S99" s="1" t="s">
        <v>58</v>
      </c>
      <c r="T99" s="1">
        <v>0.1065</v>
      </c>
      <c r="Y99" s="1">
        <v>8</v>
      </c>
      <c r="Z99" s="4">
        <v>0.3</v>
      </c>
      <c r="AC99" s="1">
        <v>10</v>
      </c>
      <c r="AD99" s="1">
        <v>405</v>
      </c>
    </row>
    <row r="100" spans="1:30">
      <c r="A100" s="5" t="s">
        <v>102</v>
      </c>
      <c r="B100" s="1" t="s">
        <v>65</v>
      </c>
      <c r="C100" s="2">
        <f t="shared" si="2"/>
        <v>16.666666666666668</v>
      </c>
      <c r="D100" s="1" t="s">
        <v>66</v>
      </c>
      <c r="E100" s="3" t="s">
        <v>98</v>
      </c>
      <c r="F100" s="1" t="s">
        <v>40</v>
      </c>
      <c r="J100" s="1">
        <v>0.06</v>
      </c>
      <c r="K100" s="1">
        <v>1</v>
      </c>
      <c r="N100" s="1">
        <v>3600</v>
      </c>
      <c r="O100" s="1">
        <v>25</v>
      </c>
      <c r="P100" s="1">
        <v>2</v>
      </c>
      <c r="Q100" s="1" t="s">
        <v>94</v>
      </c>
      <c r="R100" s="1">
        <v>6.0000000000000001E-3</v>
      </c>
      <c r="S100" s="1" t="s">
        <v>42</v>
      </c>
      <c r="T100" s="1">
        <v>0.1</v>
      </c>
      <c r="U100" s="1" t="s">
        <v>68</v>
      </c>
      <c r="V100" s="1">
        <v>0.02</v>
      </c>
      <c r="Y100" s="1">
        <v>6</v>
      </c>
      <c r="Z100" s="4">
        <v>1</v>
      </c>
      <c r="AC100" s="1">
        <v>100</v>
      </c>
      <c r="AD100" s="1">
        <v>408</v>
      </c>
    </row>
    <row r="101" spans="1:30">
      <c r="A101" s="6" t="s">
        <v>113</v>
      </c>
      <c r="B101" s="1" t="s">
        <v>45</v>
      </c>
      <c r="C101" s="2">
        <f t="shared" si="2"/>
        <v>1</v>
      </c>
      <c r="E101" s="3" t="s">
        <v>35</v>
      </c>
      <c r="F101" s="1" t="s">
        <v>30</v>
      </c>
      <c r="G101" s="1">
        <v>-2</v>
      </c>
      <c r="N101" s="1">
        <v>300</v>
      </c>
      <c r="P101" s="1">
        <v>2</v>
      </c>
      <c r="Q101" s="1" t="s">
        <v>31</v>
      </c>
      <c r="R101" s="1">
        <v>0.5</v>
      </c>
      <c r="S101" s="1" t="s">
        <v>32</v>
      </c>
      <c r="T101" s="1">
        <v>0.5</v>
      </c>
      <c r="Y101" s="1">
        <v>5</v>
      </c>
      <c r="Z101" s="4">
        <v>1</v>
      </c>
      <c r="AB101" s="1">
        <v>0.9</v>
      </c>
      <c r="AC101" s="1">
        <v>10</v>
      </c>
      <c r="AD101" s="1">
        <v>234</v>
      </c>
    </row>
    <row r="102" spans="1:30">
      <c r="A102" s="6" t="s">
        <v>113</v>
      </c>
      <c r="B102" s="1" t="s">
        <v>45</v>
      </c>
      <c r="C102" s="2">
        <f t="shared" si="2"/>
        <v>1</v>
      </c>
      <c r="E102" s="3" t="s">
        <v>106</v>
      </c>
      <c r="F102" s="1" t="s">
        <v>30</v>
      </c>
      <c r="G102" s="1">
        <v>-2</v>
      </c>
      <c r="N102" s="1">
        <v>300</v>
      </c>
      <c r="P102" s="1">
        <v>2</v>
      </c>
      <c r="Q102" s="1" t="s">
        <v>31</v>
      </c>
      <c r="R102" s="1">
        <v>0.5</v>
      </c>
      <c r="S102" s="1" t="s">
        <v>32</v>
      </c>
      <c r="T102" s="1">
        <v>0.5</v>
      </c>
      <c r="Y102" s="1">
        <v>5</v>
      </c>
      <c r="Z102" s="4">
        <v>1</v>
      </c>
      <c r="AB102" s="1">
        <v>0.9</v>
      </c>
      <c r="AC102" s="1">
        <v>50</v>
      </c>
      <c r="AD102" s="1">
        <v>265</v>
      </c>
    </row>
    <row r="103" spans="1:30">
      <c r="A103" s="6" t="s">
        <v>113</v>
      </c>
      <c r="B103" s="1" t="s">
        <v>45</v>
      </c>
      <c r="C103" s="2">
        <f t="shared" si="2"/>
        <v>1</v>
      </c>
      <c r="E103" s="3" t="s">
        <v>128</v>
      </c>
      <c r="F103" s="1" t="s">
        <v>30</v>
      </c>
      <c r="G103" s="1">
        <v>-2</v>
      </c>
      <c r="N103" s="1">
        <v>300</v>
      </c>
      <c r="P103" s="1">
        <v>2</v>
      </c>
      <c r="Q103" s="1" t="s">
        <v>31</v>
      </c>
      <c r="R103" s="1">
        <v>0.5</v>
      </c>
      <c r="S103" s="1" t="s">
        <v>32</v>
      </c>
      <c r="T103" s="1">
        <v>0.5</v>
      </c>
      <c r="Y103" s="1">
        <v>5</v>
      </c>
      <c r="Z103" s="4">
        <v>1</v>
      </c>
      <c r="AB103" s="1">
        <v>0.9</v>
      </c>
      <c r="AC103" s="1">
        <v>100</v>
      </c>
      <c r="AD103" s="1">
        <v>286</v>
      </c>
    </row>
    <row r="104" spans="1:30">
      <c r="A104" s="5" t="s">
        <v>143</v>
      </c>
      <c r="B104" s="1" t="s">
        <v>45</v>
      </c>
      <c r="C104" s="2">
        <f t="shared" si="2"/>
        <v>2.5</v>
      </c>
      <c r="E104" s="3" t="s">
        <v>128</v>
      </c>
      <c r="F104" s="1" t="s">
        <v>40</v>
      </c>
      <c r="J104" s="1">
        <v>8</v>
      </c>
      <c r="K104" s="1">
        <v>0.49</v>
      </c>
      <c r="N104" s="1">
        <v>120</v>
      </c>
      <c r="O104" s="1">
        <v>50</v>
      </c>
      <c r="P104" s="1">
        <v>2</v>
      </c>
      <c r="Q104" s="1" t="s">
        <v>31</v>
      </c>
      <c r="R104" s="2">
        <v>0.02</v>
      </c>
      <c r="S104" s="1" t="s">
        <v>58</v>
      </c>
      <c r="T104" s="2">
        <v>0.05</v>
      </c>
      <c r="Y104" s="1">
        <v>2.5</v>
      </c>
      <c r="Z104" s="4">
        <v>1</v>
      </c>
      <c r="AB104" s="1">
        <v>0.9</v>
      </c>
      <c r="AC104" s="1">
        <v>10</v>
      </c>
      <c r="AD104" s="1">
        <v>297</v>
      </c>
    </row>
    <row r="105" spans="1:30">
      <c r="A105" s="6" t="s">
        <v>144</v>
      </c>
      <c r="B105" s="1" t="s">
        <v>45</v>
      </c>
      <c r="C105" s="2">
        <f t="shared" si="2"/>
        <v>1</v>
      </c>
      <c r="E105" s="3" t="s">
        <v>128</v>
      </c>
      <c r="F105" s="1" t="s">
        <v>40</v>
      </c>
      <c r="J105" s="1">
        <v>0.25</v>
      </c>
      <c r="K105" s="1">
        <v>1</v>
      </c>
      <c r="N105" s="1">
        <v>12</v>
      </c>
      <c r="P105" s="1">
        <v>2</v>
      </c>
      <c r="Q105" s="1" t="s">
        <v>31</v>
      </c>
      <c r="R105" s="1">
        <v>0.15</v>
      </c>
      <c r="S105" s="1" t="s">
        <v>32</v>
      </c>
      <c r="T105" s="1">
        <v>0.15</v>
      </c>
      <c r="Y105" s="1">
        <v>5</v>
      </c>
      <c r="Z105" s="4">
        <v>1</v>
      </c>
      <c r="AB105" s="1">
        <v>0.7</v>
      </c>
      <c r="AC105" s="1">
        <v>10</v>
      </c>
      <c r="AD105" s="1">
        <v>216</v>
      </c>
    </row>
    <row r="106" spans="1:30">
      <c r="A106" s="6" t="s">
        <v>145</v>
      </c>
      <c r="B106" s="1" t="s">
        <v>45</v>
      </c>
      <c r="C106" s="2">
        <f t="shared" si="2"/>
        <v>1</v>
      </c>
      <c r="E106" s="3" t="s">
        <v>128</v>
      </c>
      <c r="F106" s="1" t="s">
        <v>40</v>
      </c>
      <c r="J106" s="1">
        <v>0.25</v>
      </c>
      <c r="K106" s="1">
        <v>1</v>
      </c>
      <c r="N106" s="1">
        <v>12</v>
      </c>
      <c r="P106" s="1">
        <v>2</v>
      </c>
      <c r="Q106" s="1" t="s">
        <v>31</v>
      </c>
      <c r="R106" s="1">
        <v>0.15</v>
      </c>
      <c r="S106" s="1" t="s">
        <v>32</v>
      </c>
      <c r="T106" s="1">
        <v>0.15</v>
      </c>
      <c r="Y106" s="1">
        <v>5</v>
      </c>
      <c r="Z106" s="4">
        <v>1</v>
      </c>
      <c r="AB106" s="1">
        <v>0.7</v>
      </c>
      <c r="AC106" s="1">
        <v>100</v>
      </c>
      <c r="AD106" s="1">
        <v>273</v>
      </c>
    </row>
    <row r="107" spans="1:30">
      <c r="A107" s="6" t="s">
        <v>145</v>
      </c>
      <c r="B107" s="1" t="s">
        <v>45</v>
      </c>
      <c r="C107" s="2">
        <f t="shared" si="2"/>
        <v>1</v>
      </c>
      <c r="E107" s="3" t="s">
        <v>128</v>
      </c>
      <c r="F107" s="1" t="s">
        <v>40</v>
      </c>
      <c r="J107" s="1">
        <v>0.5</v>
      </c>
      <c r="K107" s="1">
        <v>1</v>
      </c>
      <c r="N107" s="1">
        <v>6</v>
      </c>
      <c r="P107" s="1">
        <v>2</v>
      </c>
      <c r="Q107" s="1" t="s">
        <v>31</v>
      </c>
      <c r="R107" s="1">
        <v>0.15</v>
      </c>
      <c r="S107" s="1" t="s">
        <v>32</v>
      </c>
      <c r="T107" s="1">
        <v>0.15</v>
      </c>
      <c r="Y107" s="1">
        <v>5</v>
      </c>
      <c r="Z107" s="4">
        <v>1</v>
      </c>
      <c r="AB107" s="1">
        <v>0.7</v>
      </c>
      <c r="AC107" s="1">
        <v>10</v>
      </c>
      <c r="AD107" s="1">
        <v>204</v>
      </c>
    </row>
    <row r="108" spans="1:30">
      <c r="A108" s="6" t="s">
        <v>145</v>
      </c>
      <c r="B108" s="1" t="s">
        <v>45</v>
      </c>
      <c r="C108" s="2">
        <f t="shared" si="2"/>
        <v>1</v>
      </c>
      <c r="E108" s="3" t="s">
        <v>57</v>
      </c>
      <c r="F108" s="1" t="s">
        <v>40</v>
      </c>
      <c r="J108" s="1">
        <v>0.5</v>
      </c>
      <c r="K108" s="1">
        <v>1</v>
      </c>
      <c r="N108" s="1">
        <v>6</v>
      </c>
      <c r="P108" s="1">
        <v>2</v>
      </c>
      <c r="Q108" s="1" t="s">
        <v>31</v>
      </c>
      <c r="R108" s="1">
        <v>0.15</v>
      </c>
      <c r="S108" s="1" t="s">
        <v>32</v>
      </c>
      <c r="T108" s="1">
        <v>0.15</v>
      </c>
      <c r="Y108" s="1">
        <v>5</v>
      </c>
      <c r="Z108" s="4">
        <v>1</v>
      </c>
      <c r="AB108" s="1">
        <v>0.7</v>
      </c>
      <c r="AC108" s="1">
        <v>100</v>
      </c>
      <c r="AD108" s="1">
        <v>256</v>
      </c>
    </row>
    <row r="109" spans="1:30">
      <c r="A109" s="6" t="s">
        <v>145</v>
      </c>
      <c r="B109" s="1" t="s">
        <v>45</v>
      </c>
      <c r="C109" s="2">
        <f t="shared" si="2"/>
        <v>1</v>
      </c>
      <c r="E109" s="3" t="s">
        <v>57</v>
      </c>
      <c r="F109" s="1" t="s">
        <v>40</v>
      </c>
      <c r="J109" s="1">
        <v>0.75</v>
      </c>
      <c r="K109" s="1">
        <v>1</v>
      </c>
      <c r="N109" s="1">
        <v>4</v>
      </c>
      <c r="P109" s="1">
        <v>2</v>
      </c>
      <c r="Q109" s="1" t="s">
        <v>31</v>
      </c>
      <c r="R109" s="1">
        <v>0.15</v>
      </c>
      <c r="S109" s="1" t="s">
        <v>32</v>
      </c>
      <c r="T109" s="1">
        <v>0.15</v>
      </c>
      <c r="Y109" s="1">
        <v>5</v>
      </c>
      <c r="Z109" s="4">
        <v>1</v>
      </c>
      <c r="AB109" s="1">
        <v>0.7</v>
      </c>
      <c r="AC109" s="1">
        <v>10</v>
      </c>
      <c r="AD109" s="1">
        <v>206</v>
      </c>
    </row>
    <row r="110" spans="1:30">
      <c r="A110" s="6" t="s">
        <v>145</v>
      </c>
      <c r="B110" s="1" t="s">
        <v>45</v>
      </c>
      <c r="C110" s="2">
        <f t="shared" si="2"/>
        <v>1</v>
      </c>
      <c r="E110" s="3" t="s">
        <v>57</v>
      </c>
      <c r="F110" s="1" t="s">
        <v>40</v>
      </c>
      <c r="J110" s="1">
        <v>0.75</v>
      </c>
      <c r="K110" s="1">
        <v>1</v>
      </c>
      <c r="N110" s="1">
        <v>4</v>
      </c>
      <c r="P110" s="1">
        <v>2</v>
      </c>
      <c r="Q110" s="1" t="s">
        <v>31</v>
      </c>
      <c r="R110" s="1">
        <v>0.15</v>
      </c>
      <c r="S110" s="1" t="s">
        <v>32</v>
      </c>
      <c r="T110" s="1">
        <v>0.15</v>
      </c>
      <c r="Y110" s="1">
        <v>5</v>
      </c>
      <c r="Z110" s="4">
        <v>1</v>
      </c>
      <c r="AB110" s="1">
        <v>0.7</v>
      </c>
      <c r="AC110" s="1">
        <v>100</v>
      </c>
      <c r="AD110" s="1">
        <v>264</v>
      </c>
    </row>
    <row r="111" spans="1:30">
      <c r="A111" s="6" t="s">
        <v>145</v>
      </c>
      <c r="B111" s="1" t="s">
        <v>45</v>
      </c>
      <c r="C111" s="2">
        <f t="shared" si="2"/>
        <v>1</v>
      </c>
      <c r="E111" s="3" t="s">
        <v>57</v>
      </c>
      <c r="F111" s="1" t="s">
        <v>40</v>
      </c>
      <c r="J111" s="1">
        <v>0.5</v>
      </c>
      <c r="K111" s="1">
        <v>1</v>
      </c>
      <c r="N111" s="1">
        <v>6</v>
      </c>
      <c r="P111" s="1">
        <v>2</v>
      </c>
      <c r="Q111" s="1" t="s">
        <v>31</v>
      </c>
      <c r="R111" s="1">
        <v>0.1</v>
      </c>
      <c r="S111" s="1" t="s">
        <v>32</v>
      </c>
      <c r="T111" s="1">
        <v>0.1</v>
      </c>
      <c r="Y111" s="1">
        <v>5</v>
      </c>
      <c r="Z111" s="4">
        <v>1</v>
      </c>
      <c r="AB111" s="1">
        <v>0.7</v>
      </c>
      <c r="AC111" s="1">
        <v>10</v>
      </c>
      <c r="AD111" s="1">
        <v>209</v>
      </c>
    </row>
    <row r="112" spans="1:30">
      <c r="A112" s="6" t="s">
        <v>145</v>
      </c>
      <c r="B112" s="1" t="s">
        <v>45</v>
      </c>
      <c r="C112" s="2">
        <f t="shared" si="2"/>
        <v>1</v>
      </c>
      <c r="E112" s="3" t="s">
        <v>57</v>
      </c>
      <c r="F112" s="1" t="s">
        <v>40</v>
      </c>
      <c r="J112" s="1">
        <v>0.5</v>
      </c>
      <c r="K112" s="1">
        <v>1</v>
      </c>
      <c r="N112" s="1">
        <v>6</v>
      </c>
      <c r="P112" s="1">
        <v>2</v>
      </c>
      <c r="Q112" s="1" t="s">
        <v>31</v>
      </c>
      <c r="R112" s="1">
        <v>0.1</v>
      </c>
      <c r="S112" s="1" t="s">
        <v>32</v>
      </c>
      <c r="T112" s="1">
        <v>0.1</v>
      </c>
      <c r="Y112" s="1">
        <v>5</v>
      </c>
      <c r="Z112" s="4">
        <v>1</v>
      </c>
      <c r="AB112" s="1">
        <v>0.7</v>
      </c>
      <c r="AC112" s="1">
        <v>100</v>
      </c>
      <c r="AD112" s="1">
        <v>267</v>
      </c>
    </row>
    <row r="113" spans="1:30">
      <c r="A113" s="6" t="s">
        <v>145</v>
      </c>
      <c r="B113" s="1" t="s">
        <v>45</v>
      </c>
      <c r="C113" s="2">
        <f t="shared" si="2"/>
        <v>1</v>
      </c>
      <c r="E113" s="3" t="s">
        <v>128</v>
      </c>
      <c r="F113" s="1" t="s">
        <v>40</v>
      </c>
      <c r="J113" s="1">
        <v>0.5</v>
      </c>
      <c r="K113" s="1">
        <v>1</v>
      </c>
      <c r="N113" s="1">
        <v>6</v>
      </c>
      <c r="P113" s="1">
        <v>2</v>
      </c>
      <c r="Q113" s="1" t="s">
        <v>31</v>
      </c>
      <c r="R113" s="1">
        <v>0.2</v>
      </c>
      <c r="S113" s="1" t="s">
        <v>32</v>
      </c>
      <c r="T113" s="1">
        <v>0.2</v>
      </c>
      <c r="Y113" s="1">
        <v>5</v>
      </c>
      <c r="Z113" s="4">
        <v>1</v>
      </c>
      <c r="AB113" s="1">
        <v>0.7</v>
      </c>
      <c r="AC113" s="1">
        <v>10</v>
      </c>
      <c r="AD113" s="1">
        <v>213</v>
      </c>
    </row>
    <row r="114" spans="1:30">
      <c r="A114" s="6" t="s">
        <v>145</v>
      </c>
      <c r="B114" s="1" t="s">
        <v>45</v>
      </c>
      <c r="C114" s="2">
        <f t="shared" si="2"/>
        <v>1</v>
      </c>
      <c r="E114" s="3" t="s">
        <v>57</v>
      </c>
      <c r="F114" s="1" t="s">
        <v>40</v>
      </c>
      <c r="J114" s="1">
        <v>0.5</v>
      </c>
      <c r="K114" s="1">
        <v>1</v>
      </c>
      <c r="N114" s="1">
        <v>6</v>
      </c>
      <c r="P114" s="1">
        <v>2</v>
      </c>
      <c r="Q114" s="1" t="s">
        <v>31</v>
      </c>
      <c r="R114" s="1">
        <v>0.2</v>
      </c>
      <c r="S114" s="1" t="s">
        <v>32</v>
      </c>
      <c r="T114" s="1">
        <v>0.2</v>
      </c>
      <c r="Y114" s="1">
        <v>5</v>
      </c>
      <c r="Z114" s="4">
        <v>1</v>
      </c>
      <c r="AB114" s="1">
        <v>0.7</v>
      </c>
      <c r="AC114" s="1">
        <v>100</v>
      </c>
      <c r="AD114" s="1">
        <v>269</v>
      </c>
    </row>
    <row r="115" spans="1:30">
      <c r="A115" s="6" t="s">
        <v>146</v>
      </c>
      <c r="B115" s="1" t="s">
        <v>45</v>
      </c>
      <c r="C115" s="2">
        <f t="shared" si="2"/>
        <v>3</v>
      </c>
      <c r="E115" s="3" t="s">
        <v>57</v>
      </c>
      <c r="F115" s="1" t="s">
        <v>40</v>
      </c>
      <c r="J115" s="1">
        <v>0.25</v>
      </c>
      <c r="K115" s="1">
        <v>1</v>
      </c>
      <c r="N115" s="1">
        <v>12</v>
      </c>
      <c r="P115" s="1">
        <v>2</v>
      </c>
      <c r="Q115" s="1" t="s">
        <v>31</v>
      </c>
      <c r="R115" s="1">
        <v>7.4999999999999997E-2</v>
      </c>
      <c r="S115" s="1" t="s">
        <v>32</v>
      </c>
      <c r="T115" s="1">
        <v>0.22500000000000001</v>
      </c>
      <c r="Y115" s="1">
        <v>5</v>
      </c>
      <c r="Z115" s="4">
        <v>1</v>
      </c>
      <c r="AB115" s="1">
        <v>0.7</v>
      </c>
      <c r="AC115" s="1">
        <v>10</v>
      </c>
      <c r="AD115" s="1">
        <v>199</v>
      </c>
    </row>
    <row r="116" spans="1:30">
      <c r="A116" s="6" t="s">
        <v>145</v>
      </c>
      <c r="B116" s="1" t="s">
        <v>45</v>
      </c>
      <c r="C116" s="2">
        <f t="shared" si="2"/>
        <v>3</v>
      </c>
      <c r="E116" s="3" t="s">
        <v>57</v>
      </c>
      <c r="F116" s="1" t="s">
        <v>40</v>
      </c>
      <c r="J116" s="1">
        <v>0.25</v>
      </c>
      <c r="K116" s="1">
        <v>1</v>
      </c>
      <c r="N116" s="1">
        <v>12</v>
      </c>
      <c r="P116" s="1">
        <v>2</v>
      </c>
      <c r="Q116" s="1" t="s">
        <v>31</v>
      </c>
      <c r="R116" s="1">
        <v>7.4999999999999997E-2</v>
      </c>
      <c r="S116" s="1" t="s">
        <v>32</v>
      </c>
      <c r="T116" s="1">
        <v>0.22500000000000001</v>
      </c>
      <c r="Y116" s="1">
        <v>5</v>
      </c>
      <c r="Z116" s="4">
        <v>1</v>
      </c>
      <c r="AB116" s="1">
        <v>0.7</v>
      </c>
      <c r="AC116" s="1">
        <v>100</v>
      </c>
      <c r="AD116" s="1">
        <v>267</v>
      </c>
    </row>
    <row r="117" spans="1:30">
      <c r="A117" s="6" t="s">
        <v>145</v>
      </c>
      <c r="B117" s="1" t="s">
        <v>45</v>
      </c>
      <c r="C117" s="2">
        <f t="shared" si="2"/>
        <v>2</v>
      </c>
      <c r="E117" s="3" t="s">
        <v>57</v>
      </c>
      <c r="F117" s="1" t="s">
        <v>40</v>
      </c>
      <c r="J117" s="1">
        <v>0.5</v>
      </c>
      <c r="K117" s="1">
        <v>1</v>
      </c>
      <c r="N117" s="1">
        <v>6</v>
      </c>
      <c r="P117" s="1">
        <v>2</v>
      </c>
      <c r="Q117" s="1" t="s">
        <v>31</v>
      </c>
      <c r="R117" s="1">
        <v>0.1</v>
      </c>
      <c r="S117" s="1" t="s">
        <v>32</v>
      </c>
      <c r="T117" s="1">
        <v>0.2</v>
      </c>
      <c r="Y117" s="1">
        <v>5</v>
      </c>
      <c r="Z117" s="4">
        <v>1</v>
      </c>
      <c r="AB117" s="1">
        <v>0.7</v>
      </c>
      <c r="AC117" s="1">
        <v>10</v>
      </c>
      <c r="AD117" s="1">
        <v>206</v>
      </c>
    </row>
    <row r="118" spans="1:30">
      <c r="A118" s="6" t="s">
        <v>145</v>
      </c>
      <c r="B118" s="1" t="s">
        <v>45</v>
      </c>
      <c r="C118" s="2">
        <f t="shared" si="2"/>
        <v>2</v>
      </c>
      <c r="E118" s="3" t="s">
        <v>57</v>
      </c>
      <c r="F118" s="1" t="s">
        <v>40</v>
      </c>
      <c r="J118" s="1">
        <v>0.5</v>
      </c>
      <c r="K118" s="1">
        <v>1</v>
      </c>
      <c r="N118" s="1">
        <v>6</v>
      </c>
      <c r="P118" s="1">
        <v>2</v>
      </c>
      <c r="Q118" s="1" t="s">
        <v>31</v>
      </c>
      <c r="R118" s="1">
        <v>0.1</v>
      </c>
      <c r="S118" s="1" t="s">
        <v>32</v>
      </c>
      <c r="T118" s="1">
        <v>0.2</v>
      </c>
      <c r="Y118" s="1">
        <v>5</v>
      </c>
      <c r="Z118" s="4">
        <v>1</v>
      </c>
      <c r="AB118" s="1">
        <v>0.7</v>
      </c>
      <c r="AC118" s="1">
        <v>100</v>
      </c>
      <c r="AD118" s="1">
        <v>262</v>
      </c>
    </row>
    <row r="119" spans="1:30">
      <c r="A119" s="6" t="s">
        <v>145</v>
      </c>
      <c r="B119" s="1" t="s">
        <v>45</v>
      </c>
      <c r="C119" s="2">
        <f t="shared" si="2"/>
        <v>0.5</v>
      </c>
      <c r="E119" s="3" t="s">
        <v>57</v>
      </c>
      <c r="F119" s="1" t="s">
        <v>40</v>
      </c>
      <c r="J119" s="1">
        <v>0.75</v>
      </c>
      <c r="K119" s="1">
        <v>1</v>
      </c>
      <c r="N119" s="1">
        <v>4</v>
      </c>
      <c r="P119" s="1">
        <v>2</v>
      </c>
      <c r="Q119" s="1" t="s">
        <v>31</v>
      </c>
      <c r="R119" s="1">
        <v>0.2</v>
      </c>
      <c r="S119" s="1" t="s">
        <v>32</v>
      </c>
      <c r="T119" s="1">
        <v>0.1</v>
      </c>
      <c r="Y119" s="1">
        <v>5</v>
      </c>
      <c r="Z119" s="4">
        <v>1</v>
      </c>
      <c r="AB119" s="1">
        <v>0.7</v>
      </c>
      <c r="AC119" s="1">
        <v>10</v>
      </c>
      <c r="AD119" s="1">
        <v>248</v>
      </c>
    </row>
    <row r="120" spans="1:30">
      <c r="A120" s="6" t="s">
        <v>145</v>
      </c>
      <c r="B120" s="1" t="s">
        <v>45</v>
      </c>
      <c r="C120" s="2">
        <f t="shared" si="2"/>
        <v>0.5</v>
      </c>
      <c r="E120" s="3" t="s">
        <v>57</v>
      </c>
      <c r="F120" s="1" t="s">
        <v>40</v>
      </c>
      <c r="J120" s="1">
        <v>0.75</v>
      </c>
      <c r="K120" s="1">
        <v>1</v>
      </c>
      <c r="N120" s="1">
        <v>4</v>
      </c>
      <c r="P120" s="1">
        <v>2</v>
      </c>
      <c r="Q120" s="1" t="s">
        <v>31</v>
      </c>
      <c r="R120" s="1">
        <v>0.2</v>
      </c>
      <c r="S120" s="1" t="s">
        <v>32</v>
      </c>
      <c r="T120" s="1">
        <v>0.1</v>
      </c>
      <c r="Y120" s="1">
        <v>5</v>
      </c>
      <c r="Z120" s="4">
        <v>1</v>
      </c>
      <c r="AB120" s="1">
        <v>0.7</v>
      </c>
      <c r="AC120" s="1">
        <v>100</v>
      </c>
      <c r="AD120" s="1">
        <v>284</v>
      </c>
    </row>
    <row r="121" spans="1:30">
      <c r="A121" s="6" t="s">
        <v>145</v>
      </c>
      <c r="B121" s="1" t="s">
        <v>45</v>
      </c>
      <c r="C121" s="2">
        <f t="shared" si="2"/>
        <v>0.33333333333333331</v>
      </c>
      <c r="E121" s="3" t="s">
        <v>128</v>
      </c>
      <c r="F121" s="1" t="s">
        <v>40</v>
      </c>
      <c r="J121" s="1">
        <v>0.5</v>
      </c>
      <c r="K121" s="1">
        <v>1</v>
      </c>
      <c r="N121" s="1">
        <v>6</v>
      </c>
      <c r="P121" s="1">
        <v>2</v>
      </c>
      <c r="Q121" s="1" t="s">
        <v>31</v>
      </c>
      <c r="R121" s="1">
        <v>0.22500000000000001</v>
      </c>
      <c r="S121" s="1" t="s">
        <v>32</v>
      </c>
      <c r="T121" s="1">
        <v>7.4999999999999997E-2</v>
      </c>
      <c r="Y121" s="1">
        <v>5</v>
      </c>
      <c r="Z121" s="4">
        <v>1</v>
      </c>
      <c r="AB121" s="1">
        <v>0.7</v>
      </c>
      <c r="AC121" s="1">
        <v>10</v>
      </c>
      <c r="AD121" s="1">
        <v>270</v>
      </c>
    </row>
    <row r="122" spans="1:30">
      <c r="A122" s="6" t="s">
        <v>145</v>
      </c>
      <c r="B122" s="1" t="s">
        <v>45</v>
      </c>
      <c r="C122" s="2">
        <f t="shared" si="2"/>
        <v>0.33333333333333331</v>
      </c>
      <c r="E122" s="3" t="s">
        <v>57</v>
      </c>
      <c r="F122" s="1" t="s">
        <v>40</v>
      </c>
      <c r="J122" s="1">
        <v>0.5</v>
      </c>
      <c r="K122" s="1">
        <v>1</v>
      </c>
      <c r="N122" s="1">
        <v>6</v>
      </c>
      <c r="P122" s="1">
        <v>2</v>
      </c>
      <c r="Q122" s="1" t="s">
        <v>31</v>
      </c>
      <c r="R122" s="1">
        <v>0.22500000000000001</v>
      </c>
      <c r="S122" s="1" t="s">
        <v>32</v>
      </c>
      <c r="T122" s="1">
        <v>7.4999999999999997E-2</v>
      </c>
      <c r="Y122" s="1">
        <v>5</v>
      </c>
      <c r="Z122" s="4">
        <v>1</v>
      </c>
      <c r="AB122" s="1">
        <v>0.7</v>
      </c>
      <c r="AC122" s="1">
        <v>100</v>
      </c>
      <c r="AD122" s="1">
        <v>302</v>
      </c>
    </row>
    <row r="123" spans="1:30">
      <c r="A123" s="5" t="s">
        <v>102</v>
      </c>
      <c r="B123" s="1" t="s">
        <v>65</v>
      </c>
      <c r="C123" s="2">
        <f t="shared" si="2"/>
        <v>16.666666666666668</v>
      </c>
      <c r="D123" s="1" t="s">
        <v>66</v>
      </c>
      <c r="E123" s="3" t="s">
        <v>139</v>
      </c>
      <c r="F123" s="1" t="s">
        <v>40</v>
      </c>
      <c r="J123" s="1">
        <v>0.04</v>
      </c>
      <c r="K123" s="1">
        <v>1</v>
      </c>
      <c r="N123" s="1">
        <v>3600</v>
      </c>
      <c r="O123" s="1">
        <v>25</v>
      </c>
      <c r="P123" s="1">
        <v>2</v>
      </c>
      <c r="Q123" s="1" t="s">
        <v>94</v>
      </c>
      <c r="R123" s="1">
        <v>6.0000000000000001E-3</v>
      </c>
      <c r="S123" s="1" t="s">
        <v>42</v>
      </c>
      <c r="T123" s="1">
        <v>0.1</v>
      </c>
      <c r="U123" s="1" t="s">
        <v>68</v>
      </c>
      <c r="V123" s="1">
        <v>0.02</v>
      </c>
      <c r="Y123" s="1">
        <v>6</v>
      </c>
      <c r="Z123" s="4">
        <v>1</v>
      </c>
      <c r="AC123" s="1">
        <v>100</v>
      </c>
      <c r="AD123" s="1">
        <v>414</v>
      </c>
    </row>
    <row r="124" spans="1:30">
      <c r="A124" s="5" t="s">
        <v>86</v>
      </c>
      <c r="B124" s="1" t="s">
        <v>45</v>
      </c>
      <c r="C124" s="2">
        <f t="shared" si="2"/>
        <v>0.14285714285714288</v>
      </c>
      <c r="E124" s="3" t="s">
        <v>98</v>
      </c>
      <c r="F124" s="1" t="s">
        <v>40</v>
      </c>
      <c r="J124" s="1">
        <v>0.03</v>
      </c>
      <c r="N124" s="1">
        <v>300</v>
      </c>
      <c r="P124" s="1">
        <v>2</v>
      </c>
      <c r="Q124" s="1" t="s">
        <v>31</v>
      </c>
      <c r="R124" s="1">
        <v>6.9999999999999999E-4</v>
      </c>
      <c r="S124" s="1" t="s">
        <v>58</v>
      </c>
      <c r="T124" s="1">
        <v>1E-4</v>
      </c>
      <c r="Y124" s="1">
        <v>1</v>
      </c>
      <c r="Z124" s="4">
        <v>1</v>
      </c>
      <c r="AB124" s="1">
        <v>1</v>
      </c>
      <c r="AC124" s="1">
        <v>10</v>
      </c>
      <c r="AD124" s="1">
        <v>416</v>
      </c>
    </row>
    <row r="125" spans="1:30">
      <c r="A125" s="6" t="s">
        <v>92</v>
      </c>
      <c r="B125" s="1" t="s">
        <v>45</v>
      </c>
      <c r="C125" s="2">
        <f t="shared" si="2"/>
        <v>20</v>
      </c>
      <c r="E125" s="1" t="s">
        <v>93</v>
      </c>
      <c r="F125" s="1" t="s">
        <v>40</v>
      </c>
      <c r="J125" s="1">
        <v>0.04</v>
      </c>
      <c r="K125" s="1">
        <v>4</v>
      </c>
      <c r="N125" s="1">
        <v>600</v>
      </c>
      <c r="O125" s="1">
        <v>60</v>
      </c>
      <c r="P125" s="1">
        <v>2</v>
      </c>
      <c r="Q125" s="1" t="s">
        <v>94</v>
      </c>
      <c r="R125" s="1">
        <v>0.05</v>
      </c>
      <c r="S125" s="1" t="s">
        <v>42</v>
      </c>
      <c r="T125" s="1">
        <v>1</v>
      </c>
      <c r="Y125" s="1">
        <v>2.5</v>
      </c>
      <c r="Z125" s="4">
        <v>1</v>
      </c>
      <c r="AC125" s="1">
        <v>100</v>
      </c>
      <c r="AD125" s="1">
        <v>417</v>
      </c>
    </row>
    <row r="126" spans="1:30">
      <c r="A126" s="5" t="s">
        <v>102</v>
      </c>
      <c r="B126" s="1" t="s">
        <v>65</v>
      </c>
      <c r="C126" s="2">
        <f t="shared" si="2"/>
        <v>50</v>
      </c>
      <c r="D126" s="1" t="s">
        <v>66</v>
      </c>
      <c r="E126" s="3" t="s">
        <v>139</v>
      </c>
      <c r="F126" s="1" t="s">
        <v>40</v>
      </c>
      <c r="J126" s="1">
        <v>0.06</v>
      </c>
      <c r="K126" s="1">
        <v>1</v>
      </c>
      <c r="N126" s="1">
        <v>3600</v>
      </c>
      <c r="O126" s="1">
        <v>25</v>
      </c>
      <c r="P126" s="1">
        <v>2</v>
      </c>
      <c r="Q126" s="1" t="s">
        <v>94</v>
      </c>
      <c r="R126" s="1">
        <v>2E-3</v>
      </c>
      <c r="S126" s="1" t="s">
        <v>42</v>
      </c>
      <c r="T126" s="1">
        <v>0.1</v>
      </c>
      <c r="U126" s="1" t="s">
        <v>68</v>
      </c>
      <c r="V126" s="1">
        <v>0.02</v>
      </c>
      <c r="Y126" s="1">
        <v>6</v>
      </c>
      <c r="Z126" s="4">
        <v>1</v>
      </c>
      <c r="AC126" s="1">
        <v>100</v>
      </c>
      <c r="AD126" s="1">
        <v>418</v>
      </c>
    </row>
    <row r="127" spans="1:30">
      <c r="A127" s="5" t="s">
        <v>102</v>
      </c>
      <c r="B127" s="1" t="s">
        <v>65</v>
      </c>
      <c r="C127" s="2">
        <f t="shared" si="2"/>
        <v>5.5555555555555562</v>
      </c>
      <c r="D127" s="1" t="s">
        <v>66</v>
      </c>
      <c r="E127" s="3" t="s">
        <v>139</v>
      </c>
      <c r="F127" s="1" t="s">
        <v>40</v>
      </c>
      <c r="J127" s="1">
        <v>0.06</v>
      </c>
      <c r="K127" s="1">
        <v>1</v>
      </c>
      <c r="N127" s="1">
        <v>3600</v>
      </c>
      <c r="O127" s="1">
        <v>25</v>
      </c>
      <c r="P127" s="1">
        <v>2</v>
      </c>
      <c r="Q127" s="1" t="s">
        <v>94</v>
      </c>
      <c r="R127" s="1">
        <v>1.7999999999999999E-2</v>
      </c>
      <c r="S127" s="1" t="s">
        <v>42</v>
      </c>
      <c r="T127" s="1">
        <v>0.1</v>
      </c>
      <c r="U127" s="1" t="s">
        <v>68</v>
      </c>
      <c r="V127" s="1">
        <v>0.02</v>
      </c>
      <c r="Y127" s="1">
        <v>6</v>
      </c>
      <c r="Z127" s="4">
        <v>1</v>
      </c>
      <c r="AC127" s="1">
        <v>100</v>
      </c>
      <c r="AD127" s="1">
        <v>423</v>
      </c>
    </row>
    <row r="128" spans="1:30">
      <c r="A128" s="5" t="s">
        <v>102</v>
      </c>
      <c r="B128" s="1" t="s">
        <v>65</v>
      </c>
      <c r="C128" s="2">
        <f t="shared" si="2"/>
        <v>16.666666666666668</v>
      </c>
      <c r="D128" s="1" t="s">
        <v>66</v>
      </c>
      <c r="E128" s="1" t="s">
        <v>93</v>
      </c>
      <c r="F128" s="1" t="s">
        <v>40</v>
      </c>
      <c r="J128" s="1">
        <v>0.08</v>
      </c>
      <c r="K128" s="1">
        <v>1</v>
      </c>
      <c r="N128" s="1">
        <v>3600</v>
      </c>
      <c r="O128" s="1">
        <v>25</v>
      </c>
      <c r="P128" s="1">
        <v>2</v>
      </c>
      <c r="Q128" s="1" t="s">
        <v>94</v>
      </c>
      <c r="R128" s="1">
        <v>6.0000000000000001E-3</v>
      </c>
      <c r="S128" s="1" t="s">
        <v>42</v>
      </c>
      <c r="T128" s="1">
        <v>0.1</v>
      </c>
      <c r="U128" s="1" t="s">
        <v>68</v>
      </c>
      <c r="V128" s="1">
        <v>0.02</v>
      </c>
      <c r="Y128" s="1">
        <v>6</v>
      </c>
      <c r="Z128" s="4">
        <v>1</v>
      </c>
      <c r="AC128" s="1">
        <v>100</v>
      </c>
      <c r="AD128" s="1">
        <v>423</v>
      </c>
    </row>
    <row r="129" spans="1:30">
      <c r="A129" s="1" t="s">
        <v>147</v>
      </c>
      <c r="B129" s="1" t="s">
        <v>45</v>
      </c>
      <c r="C129" s="2">
        <f t="shared" si="2"/>
        <v>1</v>
      </c>
      <c r="E129" s="3" t="s">
        <v>57</v>
      </c>
      <c r="F129" s="1" t="s">
        <v>30</v>
      </c>
      <c r="G129" s="1">
        <v>-1</v>
      </c>
      <c r="N129" s="1">
        <v>600</v>
      </c>
      <c r="O129" s="1">
        <v>20</v>
      </c>
      <c r="P129" s="1">
        <v>3</v>
      </c>
      <c r="Q129" s="1" t="s">
        <v>47</v>
      </c>
      <c r="R129" s="1">
        <v>1E-3</v>
      </c>
      <c r="S129" s="1" t="s">
        <v>32</v>
      </c>
      <c r="T129" s="1">
        <v>1E-3</v>
      </c>
      <c r="Y129" s="1">
        <v>2.5</v>
      </c>
      <c r="Z129" s="4">
        <v>1</v>
      </c>
      <c r="AC129" s="1">
        <v>10</v>
      </c>
      <c r="AD129" s="1">
        <v>225</v>
      </c>
    </row>
    <row r="130" spans="1:30">
      <c r="A130" s="1" t="s">
        <v>147</v>
      </c>
      <c r="B130" s="1" t="s">
        <v>45</v>
      </c>
      <c r="C130" s="2">
        <f t="shared" ref="C130:C176" si="3">T130/R130</f>
        <v>2</v>
      </c>
      <c r="E130" s="3" t="s">
        <v>128</v>
      </c>
      <c r="F130" s="1" t="s">
        <v>30</v>
      </c>
      <c r="G130" s="1">
        <v>-1</v>
      </c>
      <c r="N130" s="1">
        <v>600</v>
      </c>
      <c r="O130" s="1">
        <v>20</v>
      </c>
      <c r="P130" s="1">
        <v>3</v>
      </c>
      <c r="Q130" s="1" t="s">
        <v>47</v>
      </c>
      <c r="R130" s="1">
        <v>1E-3</v>
      </c>
      <c r="S130" s="1" t="s">
        <v>32</v>
      </c>
      <c r="T130" s="1">
        <v>2E-3</v>
      </c>
      <c r="Y130" s="1">
        <v>2.5</v>
      </c>
      <c r="Z130" s="4">
        <v>1</v>
      </c>
      <c r="AC130" s="1">
        <v>10</v>
      </c>
      <c r="AD130" s="1">
        <v>200</v>
      </c>
    </row>
    <row r="131" spans="1:30">
      <c r="A131" s="1" t="s">
        <v>147</v>
      </c>
      <c r="B131" s="1" t="s">
        <v>45</v>
      </c>
      <c r="C131" s="2">
        <f t="shared" si="3"/>
        <v>3</v>
      </c>
      <c r="E131" s="3" t="s">
        <v>57</v>
      </c>
      <c r="F131" s="1" t="s">
        <v>30</v>
      </c>
      <c r="G131" s="1">
        <v>-1</v>
      </c>
      <c r="N131" s="1">
        <v>600</v>
      </c>
      <c r="O131" s="1">
        <v>20</v>
      </c>
      <c r="P131" s="1">
        <v>3</v>
      </c>
      <c r="Q131" s="1" t="s">
        <v>47</v>
      </c>
      <c r="R131" s="1">
        <v>1E-3</v>
      </c>
      <c r="S131" s="1" t="s">
        <v>32</v>
      </c>
      <c r="T131" s="1">
        <v>3.0000000000000001E-3</v>
      </c>
      <c r="Y131" s="1">
        <v>2.5</v>
      </c>
      <c r="Z131" s="4">
        <v>1</v>
      </c>
      <c r="AC131" s="1">
        <v>10</v>
      </c>
      <c r="AD131" s="1">
        <v>246</v>
      </c>
    </row>
    <row r="132" spans="1:30">
      <c r="A132" s="1" t="s">
        <v>147</v>
      </c>
      <c r="B132" s="1" t="s">
        <v>45</v>
      </c>
      <c r="C132" s="2">
        <f t="shared" si="3"/>
        <v>2</v>
      </c>
      <c r="E132" s="3" t="s">
        <v>57</v>
      </c>
      <c r="F132" s="1" t="s">
        <v>30</v>
      </c>
      <c r="G132" s="1">
        <v>-1</v>
      </c>
      <c r="N132" s="1">
        <v>300</v>
      </c>
      <c r="O132" s="1">
        <v>20</v>
      </c>
      <c r="P132" s="1">
        <v>3</v>
      </c>
      <c r="Q132" s="1" t="s">
        <v>47</v>
      </c>
      <c r="R132" s="1">
        <v>1E-3</v>
      </c>
      <c r="S132" s="1" t="s">
        <v>32</v>
      </c>
      <c r="T132" s="1">
        <v>2E-3</v>
      </c>
      <c r="Y132" s="1">
        <v>2.5</v>
      </c>
      <c r="Z132" s="4">
        <v>1</v>
      </c>
      <c r="AC132" s="1">
        <v>10</v>
      </c>
      <c r="AD132" s="1">
        <v>224</v>
      </c>
    </row>
    <row r="133" spans="1:30">
      <c r="A133" s="1" t="s">
        <v>147</v>
      </c>
      <c r="B133" s="1" t="s">
        <v>45</v>
      </c>
      <c r="C133" s="2">
        <f t="shared" si="3"/>
        <v>2</v>
      </c>
      <c r="E133" s="3" t="s">
        <v>57</v>
      </c>
      <c r="F133" s="1" t="s">
        <v>30</v>
      </c>
      <c r="G133" s="1">
        <v>-1</v>
      </c>
      <c r="N133" s="1">
        <v>900</v>
      </c>
      <c r="O133" s="1">
        <v>20</v>
      </c>
      <c r="P133" s="1">
        <v>3</v>
      </c>
      <c r="Q133" s="1" t="s">
        <v>47</v>
      </c>
      <c r="R133" s="1">
        <v>1E-3</v>
      </c>
      <c r="S133" s="1" t="s">
        <v>32</v>
      </c>
      <c r="T133" s="1">
        <v>2E-3</v>
      </c>
      <c r="Y133" s="1">
        <v>2.5</v>
      </c>
      <c r="Z133" s="4">
        <v>1</v>
      </c>
      <c r="AC133" s="1">
        <v>10</v>
      </c>
      <c r="AD133" s="1">
        <v>220</v>
      </c>
    </row>
    <row r="134" spans="1:30">
      <c r="A134" s="1" t="s">
        <v>147</v>
      </c>
      <c r="B134" s="1" t="s">
        <v>45</v>
      </c>
      <c r="C134" s="2">
        <f t="shared" si="3"/>
        <v>1</v>
      </c>
      <c r="E134" s="3" t="s">
        <v>148</v>
      </c>
      <c r="F134" s="1" t="s">
        <v>30</v>
      </c>
      <c r="G134" s="1">
        <v>-1</v>
      </c>
      <c r="N134" s="1">
        <v>600</v>
      </c>
      <c r="O134" s="1">
        <v>20</v>
      </c>
      <c r="P134" s="1">
        <v>3</v>
      </c>
      <c r="Q134" s="1" t="s">
        <v>47</v>
      </c>
      <c r="R134" s="1">
        <v>1E-3</v>
      </c>
      <c r="S134" s="1" t="s">
        <v>32</v>
      </c>
      <c r="T134" s="1">
        <v>1E-3</v>
      </c>
      <c r="Y134" s="1">
        <v>2.5</v>
      </c>
      <c r="Z134" s="4">
        <v>1</v>
      </c>
      <c r="AC134" s="1">
        <v>10</v>
      </c>
      <c r="AD134" s="1">
        <v>250</v>
      </c>
    </row>
    <row r="135" spans="1:30">
      <c r="A135" s="1" t="s">
        <v>147</v>
      </c>
      <c r="B135" s="1" t="s">
        <v>45</v>
      </c>
      <c r="C135" s="2">
        <f t="shared" si="3"/>
        <v>2</v>
      </c>
      <c r="E135" s="3" t="s">
        <v>148</v>
      </c>
      <c r="F135" s="1" t="s">
        <v>30</v>
      </c>
      <c r="G135" s="1">
        <v>-1</v>
      </c>
      <c r="N135" s="1">
        <v>600</v>
      </c>
      <c r="O135" s="1">
        <v>20</v>
      </c>
      <c r="P135" s="1">
        <v>3</v>
      </c>
      <c r="Q135" s="1" t="s">
        <v>47</v>
      </c>
      <c r="R135" s="1">
        <v>1E-3</v>
      </c>
      <c r="S135" s="1" t="s">
        <v>32</v>
      </c>
      <c r="T135" s="1">
        <v>2E-3</v>
      </c>
      <c r="Y135" s="1">
        <v>2.5</v>
      </c>
      <c r="Z135" s="4">
        <v>1</v>
      </c>
      <c r="AC135" s="1">
        <v>10</v>
      </c>
      <c r="AD135" s="1">
        <v>230</v>
      </c>
    </row>
    <row r="136" spans="1:30">
      <c r="A136" s="1" t="s">
        <v>147</v>
      </c>
      <c r="B136" s="1" t="s">
        <v>45</v>
      </c>
      <c r="C136" s="2">
        <f t="shared" si="3"/>
        <v>3</v>
      </c>
      <c r="E136" s="3" t="s">
        <v>148</v>
      </c>
      <c r="F136" s="1" t="s">
        <v>30</v>
      </c>
      <c r="G136" s="1">
        <v>-1</v>
      </c>
      <c r="N136" s="1">
        <v>600</v>
      </c>
      <c r="O136" s="1">
        <v>20</v>
      </c>
      <c r="P136" s="1">
        <v>3</v>
      </c>
      <c r="Q136" s="1" t="s">
        <v>47</v>
      </c>
      <c r="R136" s="1">
        <v>1E-3</v>
      </c>
      <c r="S136" s="1" t="s">
        <v>32</v>
      </c>
      <c r="T136" s="1">
        <v>3.0000000000000001E-3</v>
      </c>
      <c r="Y136" s="1">
        <v>2.5</v>
      </c>
      <c r="Z136" s="4">
        <v>1</v>
      </c>
      <c r="AC136" s="1">
        <v>10</v>
      </c>
      <c r="AD136" s="1">
        <v>260</v>
      </c>
    </row>
    <row r="137" spans="1:30">
      <c r="A137" s="1" t="s">
        <v>147</v>
      </c>
      <c r="B137" s="1" t="s">
        <v>45</v>
      </c>
      <c r="C137" s="2">
        <f t="shared" si="3"/>
        <v>2</v>
      </c>
      <c r="E137" s="3" t="s">
        <v>148</v>
      </c>
      <c r="F137" s="1" t="s">
        <v>30</v>
      </c>
      <c r="G137" s="1">
        <v>-1</v>
      </c>
      <c r="N137" s="1">
        <v>300</v>
      </c>
      <c r="O137" s="1">
        <v>20</v>
      </c>
      <c r="P137" s="1">
        <v>3</v>
      </c>
      <c r="Q137" s="1" t="s">
        <v>47</v>
      </c>
      <c r="R137" s="1">
        <v>1E-3</v>
      </c>
      <c r="S137" s="1" t="s">
        <v>32</v>
      </c>
      <c r="T137" s="1">
        <v>2E-3</v>
      </c>
      <c r="Y137" s="1">
        <v>2.5</v>
      </c>
      <c r="Z137" s="4">
        <v>1</v>
      </c>
      <c r="AC137" s="1">
        <v>10</v>
      </c>
      <c r="AD137" s="1">
        <v>240</v>
      </c>
    </row>
    <row r="138" spans="1:30">
      <c r="A138" s="1" t="s">
        <v>147</v>
      </c>
      <c r="B138" s="1" t="s">
        <v>45</v>
      </c>
      <c r="C138" s="2">
        <f t="shared" si="3"/>
        <v>2</v>
      </c>
      <c r="E138" s="3" t="s">
        <v>148</v>
      </c>
      <c r="F138" s="1" t="s">
        <v>30</v>
      </c>
      <c r="G138" s="1">
        <v>-1</v>
      </c>
      <c r="N138" s="1">
        <v>900</v>
      </c>
      <c r="O138" s="1">
        <v>20</v>
      </c>
      <c r="P138" s="1">
        <v>3</v>
      </c>
      <c r="Q138" s="1" t="s">
        <v>47</v>
      </c>
      <c r="R138" s="1">
        <v>1E-3</v>
      </c>
      <c r="S138" s="1" t="s">
        <v>32</v>
      </c>
      <c r="T138" s="1">
        <v>2E-3</v>
      </c>
      <c r="Y138" s="1">
        <v>2.5</v>
      </c>
      <c r="Z138" s="4">
        <v>1</v>
      </c>
      <c r="AC138" s="1">
        <v>10</v>
      </c>
      <c r="AD138" s="1">
        <v>241</v>
      </c>
    </row>
    <row r="139" spans="1:30">
      <c r="A139" s="5" t="s">
        <v>102</v>
      </c>
      <c r="B139" s="1" t="s">
        <v>65</v>
      </c>
      <c r="C139" s="2">
        <f t="shared" si="3"/>
        <v>7.1428571428571432</v>
      </c>
      <c r="D139" s="1" t="s">
        <v>66</v>
      </c>
      <c r="E139" s="3" t="s">
        <v>98</v>
      </c>
      <c r="F139" s="1" t="s">
        <v>40</v>
      </c>
      <c r="J139" s="1">
        <v>0.06</v>
      </c>
      <c r="K139" s="1">
        <v>1</v>
      </c>
      <c r="N139" s="1">
        <v>3600</v>
      </c>
      <c r="O139" s="1">
        <v>25</v>
      </c>
      <c r="P139" s="1">
        <v>2</v>
      </c>
      <c r="Q139" s="1" t="s">
        <v>94</v>
      </c>
      <c r="R139" s="1">
        <v>1.4E-2</v>
      </c>
      <c r="S139" s="1" t="s">
        <v>42</v>
      </c>
      <c r="T139" s="1">
        <v>0.1</v>
      </c>
      <c r="U139" s="1" t="s">
        <v>68</v>
      </c>
      <c r="V139" s="1">
        <v>0.02</v>
      </c>
      <c r="Y139" s="1">
        <v>6</v>
      </c>
      <c r="Z139" s="4">
        <v>1</v>
      </c>
      <c r="AC139" s="1">
        <v>100</v>
      </c>
      <c r="AD139" s="1">
        <v>426</v>
      </c>
    </row>
    <row r="140" spans="1:30">
      <c r="A140" s="5" t="s">
        <v>101</v>
      </c>
      <c r="B140" s="1" t="s">
        <v>45</v>
      </c>
      <c r="C140" s="2">
        <f t="shared" si="3"/>
        <v>5</v>
      </c>
      <c r="E140" s="3" t="s">
        <v>148</v>
      </c>
      <c r="F140" s="1" t="s">
        <v>30</v>
      </c>
      <c r="G140" s="1">
        <v>-1</v>
      </c>
      <c r="K140" s="1">
        <v>0.03</v>
      </c>
      <c r="N140" s="1">
        <v>600</v>
      </c>
      <c r="O140" s="1">
        <v>25</v>
      </c>
      <c r="P140" s="1">
        <v>3</v>
      </c>
      <c r="Q140" s="1" t="s">
        <v>41</v>
      </c>
      <c r="R140" s="1">
        <v>0.05</v>
      </c>
      <c r="S140" s="1" t="s">
        <v>42</v>
      </c>
      <c r="T140" s="1">
        <v>0.25</v>
      </c>
      <c r="Y140" s="1">
        <v>3</v>
      </c>
      <c r="Z140" s="4">
        <v>1</v>
      </c>
      <c r="AB140" s="1">
        <v>1</v>
      </c>
      <c r="AC140" s="1">
        <v>10</v>
      </c>
      <c r="AD140" s="1">
        <v>325</v>
      </c>
    </row>
    <row r="141" spans="1:30">
      <c r="A141" s="5" t="s">
        <v>101</v>
      </c>
      <c r="B141" s="1" t="s">
        <v>45</v>
      </c>
      <c r="C141" s="2">
        <f t="shared" si="3"/>
        <v>5</v>
      </c>
      <c r="E141" s="3" t="s">
        <v>57</v>
      </c>
      <c r="F141" s="1" t="s">
        <v>30</v>
      </c>
      <c r="G141" s="1">
        <v>-1</v>
      </c>
      <c r="K141" s="1">
        <v>0.03</v>
      </c>
      <c r="N141" s="1">
        <v>600</v>
      </c>
      <c r="O141" s="1">
        <v>25</v>
      </c>
      <c r="P141" s="1">
        <v>3</v>
      </c>
      <c r="Q141" s="1" t="s">
        <v>41</v>
      </c>
      <c r="R141" s="1">
        <v>0.05</v>
      </c>
      <c r="S141" s="1" t="s">
        <v>42</v>
      </c>
      <c r="T141" s="1">
        <v>0.25</v>
      </c>
      <c r="Y141" s="1">
        <v>3</v>
      </c>
      <c r="Z141" s="4">
        <v>1</v>
      </c>
      <c r="AB141" s="1">
        <v>1</v>
      </c>
      <c r="AC141" s="1">
        <v>10</v>
      </c>
      <c r="AD141" s="1">
        <v>332</v>
      </c>
    </row>
    <row r="142" spans="1:30">
      <c r="A142" s="5" t="s">
        <v>101</v>
      </c>
      <c r="B142" s="1" t="s">
        <v>45</v>
      </c>
      <c r="C142" s="2">
        <f t="shared" si="3"/>
        <v>5</v>
      </c>
      <c r="D142" s="3"/>
      <c r="E142" s="3" t="s">
        <v>148</v>
      </c>
      <c r="F142" s="1" t="s">
        <v>30</v>
      </c>
      <c r="G142" s="1">
        <v>-1.1499999999999999</v>
      </c>
      <c r="K142" s="1">
        <v>0.03</v>
      </c>
      <c r="N142" s="1">
        <v>600</v>
      </c>
      <c r="O142" s="1">
        <v>25</v>
      </c>
      <c r="P142" s="1">
        <v>3</v>
      </c>
      <c r="Q142" s="1" t="s">
        <v>41</v>
      </c>
      <c r="R142" s="1">
        <v>0.05</v>
      </c>
      <c r="S142" s="1" t="s">
        <v>42</v>
      </c>
      <c r="T142" s="1">
        <v>0.25</v>
      </c>
      <c r="Y142" s="1">
        <v>3</v>
      </c>
      <c r="Z142" s="4">
        <v>1</v>
      </c>
      <c r="AB142" s="1">
        <v>1</v>
      </c>
      <c r="AC142" s="1">
        <v>10</v>
      </c>
      <c r="AD142" s="1">
        <v>273</v>
      </c>
    </row>
    <row r="143" spans="1:30">
      <c r="A143" s="5" t="s">
        <v>101</v>
      </c>
      <c r="B143" s="1" t="s">
        <v>45</v>
      </c>
      <c r="C143" s="2">
        <f t="shared" si="3"/>
        <v>5</v>
      </c>
      <c r="E143" s="3" t="s">
        <v>148</v>
      </c>
      <c r="F143" s="1" t="s">
        <v>30</v>
      </c>
      <c r="G143" s="1">
        <v>-1.3</v>
      </c>
      <c r="K143" s="1">
        <v>0.03</v>
      </c>
      <c r="N143" s="1">
        <v>600</v>
      </c>
      <c r="O143" s="1">
        <v>25</v>
      </c>
      <c r="P143" s="1">
        <v>3</v>
      </c>
      <c r="Q143" s="1" t="s">
        <v>41</v>
      </c>
      <c r="R143" s="1">
        <v>0.05</v>
      </c>
      <c r="S143" s="1" t="s">
        <v>42</v>
      </c>
      <c r="T143" s="1">
        <v>0.25</v>
      </c>
      <c r="Y143" s="1">
        <v>3</v>
      </c>
      <c r="Z143" s="4">
        <v>1</v>
      </c>
      <c r="AB143" s="1">
        <v>1</v>
      </c>
      <c r="AC143" s="1">
        <v>10</v>
      </c>
      <c r="AD143" s="1">
        <v>254</v>
      </c>
    </row>
    <row r="144" spans="1:30">
      <c r="A144" s="5" t="s">
        <v>101</v>
      </c>
      <c r="B144" s="1" t="s">
        <v>45</v>
      </c>
      <c r="C144" s="2">
        <f t="shared" si="3"/>
        <v>5</v>
      </c>
      <c r="E144" s="3" t="s">
        <v>148</v>
      </c>
      <c r="F144" s="1" t="s">
        <v>30</v>
      </c>
      <c r="G144" s="1">
        <v>-1.45</v>
      </c>
      <c r="K144" s="1">
        <v>0.03</v>
      </c>
      <c r="N144" s="1">
        <v>600</v>
      </c>
      <c r="O144" s="1">
        <v>25</v>
      </c>
      <c r="P144" s="1">
        <v>3</v>
      </c>
      <c r="Q144" s="1" t="s">
        <v>41</v>
      </c>
      <c r="R144" s="1">
        <v>0.05</v>
      </c>
      <c r="S144" s="1" t="s">
        <v>42</v>
      </c>
      <c r="T144" s="1">
        <v>0.25</v>
      </c>
      <c r="Y144" s="1">
        <v>3</v>
      </c>
      <c r="Z144" s="4">
        <v>1</v>
      </c>
      <c r="AB144" s="1">
        <v>1</v>
      </c>
      <c r="AC144" s="1">
        <v>10</v>
      </c>
      <c r="AD144" s="1">
        <v>236</v>
      </c>
    </row>
    <row r="145" spans="1:30">
      <c r="A145" s="6" t="s">
        <v>149</v>
      </c>
      <c r="B145" s="1" t="s">
        <v>45</v>
      </c>
      <c r="C145" s="2">
        <f t="shared" si="3"/>
        <v>0.33333333333333337</v>
      </c>
      <c r="E145" s="3" t="s">
        <v>150</v>
      </c>
      <c r="F145" s="1" t="s">
        <v>40</v>
      </c>
      <c r="J145" s="1">
        <v>0.05</v>
      </c>
      <c r="K145" s="1">
        <v>1</v>
      </c>
      <c r="N145" s="1">
        <f t="shared" ref="N145:N170" si="4">6/J145</f>
        <v>120</v>
      </c>
      <c r="P145" s="1">
        <v>2</v>
      </c>
      <c r="Q145" s="1" t="s">
        <v>31</v>
      </c>
      <c r="R145" s="1">
        <v>1.7999999999999999E-2</v>
      </c>
      <c r="S145" s="1" t="s">
        <v>58</v>
      </c>
      <c r="T145" s="1">
        <v>6.0000000000000001E-3</v>
      </c>
      <c r="Y145" s="1">
        <v>5.5</v>
      </c>
      <c r="Z145" s="4">
        <v>1</v>
      </c>
      <c r="AC145" s="1">
        <v>10</v>
      </c>
      <c r="AD145" s="1">
        <v>270</v>
      </c>
    </row>
    <row r="146" spans="1:30">
      <c r="A146" s="6" t="s">
        <v>149</v>
      </c>
      <c r="B146" s="1" t="s">
        <v>45</v>
      </c>
      <c r="C146" s="2">
        <f t="shared" si="3"/>
        <v>0.5</v>
      </c>
      <c r="E146" s="3" t="s">
        <v>148</v>
      </c>
      <c r="F146" s="1" t="s">
        <v>40</v>
      </c>
      <c r="J146" s="1">
        <v>0.05</v>
      </c>
      <c r="K146" s="1">
        <v>1</v>
      </c>
      <c r="N146" s="1">
        <f t="shared" si="4"/>
        <v>120</v>
      </c>
      <c r="P146" s="1">
        <v>2</v>
      </c>
      <c r="Q146" s="1" t="s">
        <v>31</v>
      </c>
      <c r="R146" s="1">
        <v>1.6E-2</v>
      </c>
      <c r="S146" s="1" t="s">
        <v>58</v>
      </c>
      <c r="T146" s="1">
        <v>8.0000000000000002E-3</v>
      </c>
      <c r="Y146" s="1">
        <v>5.5</v>
      </c>
      <c r="Z146" s="4">
        <v>1</v>
      </c>
      <c r="AC146" s="1">
        <v>10</v>
      </c>
      <c r="AD146" s="1">
        <v>265</v>
      </c>
    </row>
    <row r="147" spans="1:30">
      <c r="A147" s="6" t="s">
        <v>149</v>
      </c>
      <c r="B147" s="1" t="s">
        <v>45</v>
      </c>
      <c r="C147" s="2">
        <f t="shared" si="3"/>
        <v>1</v>
      </c>
      <c r="E147" s="3" t="s">
        <v>148</v>
      </c>
      <c r="F147" s="1" t="s">
        <v>40</v>
      </c>
      <c r="J147" s="1">
        <v>0.05</v>
      </c>
      <c r="K147" s="1">
        <v>1</v>
      </c>
      <c r="N147" s="1">
        <f t="shared" si="4"/>
        <v>120</v>
      </c>
      <c r="P147" s="1">
        <v>2</v>
      </c>
      <c r="Q147" s="1" t="s">
        <v>31</v>
      </c>
      <c r="R147" s="1">
        <v>1.2E-2</v>
      </c>
      <c r="S147" s="1" t="s">
        <v>58</v>
      </c>
      <c r="T147" s="1">
        <v>1.2E-2</v>
      </c>
      <c r="Y147" s="1">
        <v>5.5</v>
      </c>
      <c r="Z147" s="4">
        <v>1</v>
      </c>
      <c r="AC147" s="1">
        <v>10</v>
      </c>
      <c r="AD147" s="1">
        <v>255</v>
      </c>
    </row>
    <row r="148" spans="1:30">
      <c r="A148" s="6" t="s">
        <v>149</v>
      </c>
      <c r="B148" s="1" t="s">
        <v>45</v>
      </c>
      <c r="C148" s="2">
        <f t="shared" si="3"/>
        <v>2</v>
      </c>
      <c r="E148" s="3" t="s">
        <v>148</v>
      </c>
      <c r="F148" s="1" t="s">
        <v>40</v>
      </c>
      <c r="J148" s="1">
        <v>0.05</v>
      </c>
      <c r="K148" s="1">
        <v>1</v>
      </c>
      <c r="N148" s="1">
        <f t="shared" si="4"/>
        <v>120</v>
      </c>
      <c r="P148" s="1">
        <v>2</v>
      </c>
      <c r="Q148" s="1" t="s">
        <v>31</v>
      </c>
      <c r="R148" s="1">
        <v>8.0000000000000002E-3</v>
      </c>
      <c r="S148" s="1" t="s">
        <v>58</v>
      </c>
      <c r="T148" s="1">
        <v>1.6E-2</v>
      </c>
      <c r="Y148" s="1">
        <v>6</v>
      </c>
      <c r="Z148" s="4">
        <v>1</v>
      </c>
      <c r="AC148" s="1">
        <v>10</v>
      </c>
      <c r="AD148" s="1">
        <v>235</v>
      </c>
    </row>
    <row r="149" spans="1:30">
      <c r="A149" s="6" t="s">
        <v>149</v>
      </c>
      <c r="B149" s="1" t="s">
        <v>45</v>
      </c>
      <c r="C149" s="2">
        <f t="shared" si="3"/>
        <v>2.9999999999999996</v>
      </c>
      <c r="E149" s="3" t="s">
        <v>148</v>
      </c>
      <c r="F149" s="1" t="s">
        <v>40</v>
      </c>
      <c r="J149" s="1">
        <v>0.05</v>
      </c>
      <c r="K149" s="1">
        <v>1</v>
      </c>
      <c r="N149" s="1">
        <f t="shared" si="4"/>
        <v>120</v>
      </c>
      <c r="P149" s="1">
        <v>2</v>
      </c>
      <c r="Q149" s="1" t="s">
        <v>31</v>
      </c>
      <c r="R149" s="1">
        <v>6.0000000000000001E-3</v>
      </c>
      <c r="S149" s="1" t="s">
        <v>58</v>
      </c>
      <c r="T149" s="1">
        <v>1.7999999999999999E-2</v>
      </c>
      <c r="Y149" s="1">
        <v>6</v>
      </c>
      <c r="Z149" s="4">
        <v>1</v>
      </c>
      <c r="AC149" s="1">
        <v>10</v>
      </c>
      <c r="AD149" s="1">
        <v>241</v>
      </c>
    </row>
    <row r="150" spans="1:30">
      <c r="A150" s="6" t="s">
        <v>149</v>
      </c>
      <c r="B150" s="1" t="s">
        <v>45</v>
      </c>
      <c r="C150" s="2">
        <f t="shared" si="3"/>
        <v>0.33333333333333337</v>
      </c>
      <c r="E150" s="3" t="s">
        <v>150</v>
      </c>
      <c r="F150" s="1" t="s">
        <v>40</v>
      </c>
      <c r="J150" s="1">
        <v>0.05</v>
      </c>
      <c r="K150" s="1">
        <v>1</v>
      </c>
      <c r="N150" s="1">
        <f t="shared" si="4"/>
        <v>120</v>
      </c>
      <c r="P150" s="1">
        <v>2</v>
      </c>
      <c r="Q150" s="1" t="s">
        <v>31</v>
      </c>
      <c r="R150" s="1">
        <v>1.7999999999999999E-2</v>
      </c>
      <c r="S150" s="1" t="s">
        <v>58</v>
      </c>
      <c r="T150" s="1">
        <v>6.0000000000000001E-3</v>
      </c>
      <c r="Y150" s="1">
        <v>5.5</v>
      </c>
      <c r="Z150" s="4">
        <v>1</v>
      </c>
      <c r="AC150" s="1">
        <v>100</v>
      </c>
      <c r="AD150" s="1">
        <v>333</v>
      </c>
    </row>
    <row r="151" spans="1:30">
      <c r="A151" s="6" t="s">
        <v>149</v>
      </c>
      <c r="B151" s="1" t="s">
        <v>45</v>
      </c>
      <c r="C151" s="2">
        <f t="shared" si="3"/>
        <v>0.5</v>
      </c>
      <c r="E151" s="3" t="s">
        <v>148</v>
      </c>
      <c r="F151" s="1" t="s">
        <v>40</v>
      </c>
      <c r="J151" s="1">
        <v>0.05</v>
      </c>
      <c r="K151" s="1">
        <v>1</v>
      </c>
      <c r="N151" s="1">
        <f t="shared" si="4"/>
        <v>120</v>
      </c>
      <c r="P151" s="1">
        <v>2</v>
      </c>
      <c r="Q151" s="1" t="s">
        <v>31</v>
      </c>
      <c r="R151" s="1">
        <v>1.6E-2</v>
      </c>
      <c r="S151" s="1" t="s">
        <v>58</v>
      </c>
      <c r="T151" s="1">
        <v>8.0000000000000002E-3</v>
      </c>
      <c r="Y151" s="1">
        <v>5.5</v>
      </c>
      <c r="Z151" s="4">
        <v>1</v>
      </c>
      <c r="AC151" s="1">
        <v>100</v>
      </c>
      <c r="AD151" s="1">
        <v>321</v>
      </c>
    </row>
    <row r="152" spans="1:30">
      <c r="A152" s="6" t="s">
        <v>149</v>
      </c>
      <c r="B152" s="1" t="s">
        <v>45</v>
      </c>
      <c r="C152" s="2">
        <f t="shared" si="3"/>
        <v>1</v>
      </c>
      <c r="E152" s="3" t="s">
        <v>150</v>
      </c>
      <c r="F152" s="1" t="s">
        <v>40</v>
      </c>
      <c r="J152" s="1">
        <v>0.05</v>
      </c>
      <c r="K152" s="1">
        <v>1</v>
      </c>
      <c r="N152" s="1">
        <f t="shared" si="4"/>
        <v>120</v>
      </c>
      <c r="P152" s="1">
        <v>2</v>
      </c>
      <c r="Q152" s="1" t="s">
        <v>31</v>
      </c>
      <c r="R152" s="1">
        <v>1.2E-2</v>
      </c>
      <c r="S152" s="1" t="s">
        <v>58</v>
      </c>
      <c r="T152" s="1">
        <v>1.2E-2</v>
      </c>
      <c r="Y152" s="1">
        <v>5.5</v>
      </c>
      <c r="Z152" s="4">
        <v>1</v>
      </c>
      <c r="AC152" s="1">
        <v>100</v>
      </c>
      <c r="AD152" s="1">
        <v>308</v>
      </c>
    </row>
    <row r="153" spans="1:30">
      <c r="A153" s="6" t="s">
        <v>149</v>
      </c>
      <c r="B153" s="1" t="s">
        <v>45</v>
      </c>
      <c r="C153" s="2">
        <f t="shared" si="3"/>
        <v>2</v>
      </c>
      <c r="E153" s="3" t="s">
        <v>148</v>
      </c>
      <c r="F153" s="1" t="s">
        <v>40</v>
      </c>
      <c r="J153" s="1">
        <v>0.05</v>
      </c>
      <c r="K153" s="1">
        <v>1</v>
      </c>
      <c r="N153" s="1">
        <f t="shared" si="4"/>
        <v>120</v>
      </c>
      <c r="P153" s="1">
        <v>2</v>
      </c>
      <c r="Q153" s="1" t="s">
        <v>31</v>
      </c>
      <c r="R153" s="1">
        <v>8.0000000000000002E-3</v>
      </c>
      <c r="S153" s="1" t="s">
        <v>58</v>
      </c>
      <c r="T153" s="1">
        <v>1.6E-2</v>
      </c>
      <c r="Y153" s="1">
        <v>6</v>
      </c>
      <c r="Z153" s="4">
        <v>1</v>
      </c>
      <c r="AC153" s="1">
        <v>100</v>
      </c>
      <c r="AD153" s="1">
        <v>286</v>
      </c>
    </row>
    <row r="154" spans="1:30">
      <c r="A154" s="6" t="s">
        <v>149</v>
      </c>
      <c r="B154" s="1" t="s">
        <v>45</v>
      </c>
      <c r="C154" s="2">
        <f t="shared" si="3"/>
        <v>2.9999999999999996</v>
      </c>
      <c r="E154" s="3" t="s">
        <v>148</v>
      </c>
      <c r="F154" s="1" t="s">
        <v>40</v>
      </c>
      <c r="J154" s="1">
        <v>0.05</v>
      </c>
      <c r="K154" s="1">
        <v>1</v>
      </c>
      <c r="N154" s="1">
        <f t="shared" si="4"/>
        <v>120</v>
      </c>
      <c r="P154" s="1">
        <v>2</v>
      </c>
      <c r="Q154" s="1" t="s">
        <v>31</v>
      </c>
      <c r="R154" s="1">
        <v>6.0000000000000001E-3</v>
      </c>
      <c r="S154" s="1" t="s">
        <v>58</v>
      </c>
      <c r="T154" s="1">
        <v>1.7999999999999999E-2</v>
      </c>
      <c r="Y154" s="1">
        <v>6</v>
      </c>
      <c r="Z154" s="4">
        <v>1</v>
      </c>
      <c r="AC154" s="1">
        <v>100</v>
      </c>
      <c r="AD154" s="1">
        <v>297</v>
      </c>
    </row>
    <row r="155" spans="1:30">
      <c r="A155" s="6" t="s">
        <v>149</v>
      </c>
      <c r="B155" s="1" t="s">
        <v>45</v>
      </c>
      <c r="C155" s="2">
        <f t="shared" si="3"/>
        <v>2</v>
      </c>
      <c r="E155" s="3" t="s">
        <v>148</v>
      </c>
      <c r="F155" s="1" t="s">
        <v>40</v>
      </c>
      <c r="J155" s="1">
        <v>0.05</v>
      </c>
      <c r="K155" s="1">
        <v>1</v>
      </c>
      <c r="N155" s="1">
        <f t="shared" si="4"/>
        <v>120</v>
      </c>
      <c r="P155" s="1">
        <v>2</v>
      </c>
      <c r="Q155" s="1" t="s">
        <v>31</v>
      </c>
      <c r="R155" s="1">
        <v>4.0000000000000001E-3</v>
      </c>
      <c r="S155" s="1" t="s">
        <v>58</v>
      </c>
      <c r="T155" s="1">
        <v>8.0000000000000002E-3</v>
      </c>
      <c r="Y155" s="1">
        <v>6</v>
      </c>
      <c r="Z155" s="4">
        <v>1</v>
      </c>
      <c r="AC155" s="1">
        <v>10</v>
      </c>
      <c r="AD155" s="1">
        <v>243</v>
      </c>
    </row>
    <row r="156" spans="1:30">
      <c r="A156" s="6" t="s">
        <v>149</v>
      </c>
      <c r="B156" s="1" t="s">
        <v>45</v>
      </c>
      <c r="C156" s="2">
        <f t="shared" si="3"/>
        <v>2</v>
      </c>
      <c r="E156" s="3" t="s">
        <v>148</v>
      </c>
      <c r="F156" s="1" t="s">
        <v>40</v>
      </c>
      <c r="J156" s="1">
        <v>0.05</v>
      </c>
      <c r="K156" s="1">
        <v>1</v>
      </c>
      <c r="N156" s="1">
        <f t="shared" si="4"/>
        <v>120</v>
      </c>
      <c r="P156" s="1">
        <v>2</v>
      </c>
      <c r="Q156" s="1" t="s">
        <v>31</v>
      </c>
      <c r="R156" s="1">
        <v>1.6E-2</v>
      </c>
      <c r="S156" s="1" t="s">
        <v>58</v>
      </c>
      <c r="T156" s="1">
        <v>3.2000000000000001E-2</v>
      </c>
      <c r="Y156" s="1">
        <v>5.5</v>
      </c>
      <c r="Z156" s="4">
        <v>1</v>
      </c>
      <c r="AC156" s="1">
        <v>10</v>
      </c>
      <c r="AD156" s="1">
        <v>216</v>
      </c>
    </row>
    <row r="157" spans="1:30">
      <c r="A157" s="6" t="s">
        <v>149</v>
      </c>
      <c r="B157" s="1" t="s">
        <v>45</v>
      </c>
      <c r="C157" s="2">
        <f t="shared" si="3"/>
        <v>2</v>
      </c>
      <c r="E157" s="3" t="s">
        <v>150</v>
      </c>
      <c r="F157" s="1" t="s">
        <v>40</v>
      </c>
      <c r="J157" s="1">
        <v>0.05</v>
      </c>
      <c r="K157" s="1">
        <v>1</v>
      </c>
      <c r="N157" s="1">
        <f t="shared" si="4"/>
        <v>120</v>
      </c>
      <c r="P157" s="1">
        <v>2</v>
      </c>
      <c r="Q157" s="1" t="s">
        <v>31</v>
      </c>
      <c r="R157" s="1">
        <v>3.2000000000000001E-2</v>
      </c>
      <c r="S157" s="1" t="s">
        <v>58</v>
      </c>
      <c r="T157" s="1">
        <v>6.4000000000000001E-2</v>
      </c>
      <c r="Y157" s="1">
        <v>5.5</v>
      </c>
      <c r="Z157" s="4">
        <v>1</v>
      </c>
      <c r="AC157" s="1">
        <v>10</v>
      </c>
      <c r="AD157" s="1">
        <v>210</v>
      </c>
    </row>
    <row r="158" spans="1:30">
      <c r="A158" s="6" t="s">
        <v>149</v>
      </c>
      <c r="B158" s="1" t="s">
        <v>45</v>
      </c>
      <c r="C158" s="2">
        <f t="shared" si="3"/>
        <v>2</v>
      </c>
      <c r="E158" s="3" t="s">
        <v>148</v>
      </c>
      <c r="F158" s="1" t="s">
        <v>40</v>
      </c>
      <c r="J158" s="1">
        <v>0.05</v>
      </c>
      <c r="K158" s="1">
        <v>1</v>
      </c>
      <c r="N158" s="1">
        <f t="shared" si="4"/>
        <v>120</v>
      </c>
      <c r="P158" s="1">
        <v>2</v>
      </c>
      <c r="Q158" s="1" t="s">
        <v>31</v>
      </c>
      <c r="R158" s="1">
        <v>6.4000000000000001E-2</v>
      </c>
      <c r="S158" s="1" t="s">
        <v>58</v>
      </c>
      <c r="T158" s="1">
        <v>0.128</v>
      </c>
      <c r="Y158" s="1">
        <v>5</v>
      </c>
      <c r="Z158" s="4">
        <v>1</v>
      </c>
      <c r="AC158" s="1">
        <v>10</v>
      </c>
      <c r="AD158" s="1">
        <v>218</v>
      </c>
    </row>
    <row r="159" spans="1:30">
      <c r="A159" s="6" t="s">
        <v>149</v>
      </c>
      <c r="B159" s="1" t="s">
        <v>45</v>
      </c>
      <c r="C159" s="2">
        <f t="shared" si="3"/>
        <v>2</v>
      </c>
      <c r="E159" s="3" t="s">
        <v>148</v>
      </c>
      <c r="F159" s="1" t="s">
        <v>40</v>
      </c>
      <c r="J159" s="1">
        <v>0.05</v>
      </c>
      <c r="K159" s="1">
        <v>1</v>
      </c>
      <c r="N159" s="1">
        <f t="shared" si="4"/>
        <v>120</v>
      </c>
      <c r="P159" s="1">
        <v>2</v>
      </c>
      <c r="Q159" s="1" t="s">
        <v>31</v>
      </c>
      <c r="R159" s="1">
        <v>4.0000000000000001E-3</v>
      </c>
      <c r="S159" s="1" t="s">
        <v>58</v>
      </c>
      <c r="T159" s="1">
        <v>8.0000000000000002E-3</v>
      </c>
      <c r="Y159" s="1">
        <v>6</v>
      </c>
      <c r="Z159" s="4">
        <v>1</v>
      </c>
      <c r="AC159" s="1">
        <v>100</v>
      </c>
      <c r="AD159" s="1">
        <v>310</v>
      </c>
    </row>
    <row r="160" spans="1:30">
      <c r="A160" s="6" t="s">
        <v>149</v>
      </c>
      <c r="B160" s="1" t="s">
        <v>45</v>
      </c>
      <c r="C160" s="2">
        <f t="shared" si="3"/>
        <v>2</v>
      </c>
      <c r="E160" s="3" t="s">
        <v>148</v>
      </c>
      <c r="F160" s="1" t="s">
        <v>40</v>
      </c>
      <c r="J160" s="1">
        <v>0.05</v>
      </c>
      <c r="K160" s="1">
        <v>1</v>
      </c>
      <c r="N160" s="1">
        <f t="shared" si="4"/>
        <v>120</v>
      </c>
      <c r="P160" s="1">
        <v>2</v>
      </c>
      <c r="Q160" s="1" t="s">
        <v>31</v>
      </c>
      <c r="R160" s="1">
        <v>1.6E-2</v>
      </c>
      <c r="S160" s="1" t="s">
        <v>58</v>
      </c>
      <c r="T160" s="1">
        <v>3.2000000000000001E-2</v>
      </c>
      <c r="Y160" s="1">
        <v>5.5</v>
      </c>
      <c r="Z160" s="4">
        <v>1</v>
      </c>
      <c r="AC160" s="1">
        <v>100</v>
      </c>
      <c r="AD160" s="1">
        <v>282</v>
      </c>
    </row>
    <row r="161" spans="1:30">
      <c r="A161" s="6" t="s">
        <v>149</v>
      </c>
      <c r="B161" s="1" t="s">
        <v>45</v>
      </c>
      <c r="C161" s="2">
        <f t="shared" si="3"/>
        <v>2</v>
      </c>
      <c r="E161" s="3" t="s">
        <v>148</v>
      </c>
      <c r="F161" s="1" t="s">
        <v>40</v>
      </c>
      <c r="J161" s="1">
        <v>0.05</v>
      </c>
      <c r="K161" s="1">
        <v>1</v>
      </c>
      <c r="N161" s="1">
        <f t="shared" si="4"/>
        <v>120</v>
      </c>
      <c r="P161" s="1">
        <v>2</v>
      </c>
      <c r="Q161" s="1" t="s">
        <v>31</v>
      </c>
      <c r="R161" s="1">
        <v>3.2000000000000001E-2</v>
      </c>
      <c r="S161" s="1" t="s">
        <v>58</v>
      </c>
      <c r="T161" s="1">
        <v>6.4000000000000001E-2</v>
      </c>
      <c r="Y161" s="1">
        <v>5.5</v>
      </c>
      <c r="Z161" s="4">
        <v>1</v>
      </c>
      <c r="AC161" s="1">
        <v>100</v>
      </c>
      <c r="AD161" s="1">
        <v>265</v>
      </c>
    </row>
    <row r="162" spans="1:30">
      <c r="A162" s="6" t="s">
        <v>149</v>
      </c>
      <c r="B162" s="1" t="s">
        <v>45</v>
      </c>
      <c r="C162" s="2">
        <f t="shared" si="3"/>
        <v>2</v>
      </c>
      <c r="E162" s="3" t="s">
        <v>148</v>
      </c>
      <c r="F162" s="1" t="s">
        <v>40</v>
      </c>
      <c r="J162" s="1">
        <v>0.05</v>
      </c>
      <c r="K162" s="1">
        <v>1</v>
      </c>
      <c r="N162" s="1">
        <f t="shared" si="4"/>
        <v>120</v>
      </c>
      <c r="P162" s="1">
        <v>2</v>
      </c>
      <c r="Q162" s="1" t="s">
        <v>31</v>
      </c>
      <c r="R162" s="1">
        <v>6.4000000000000001E-2</v>
      </c>
      <c r="S162" s="1" t="s">
        <v>58</v>
      </c>
      <c r="T162" s="1">
        <v>0.128</v>
      </c>
      <c r="Y162" s="1">
        <v>5</v>
      </c>
      <c r="Z162" s="4">
        <v>1</v>
      </c>
      <c r="AC162" s="1">
        <v>100</v>
      </c>
      <c r="AD162" s="1">
        <v>271</v>
      </c>
    </row>
    <row r="163" spans="1:30">
      <c r="A163" s="6" t="s">
        <v>149</v>
      </c>
      <c r="B163" s="1" t="s">
        <v>45</v>
      </c>
      <c r="C163" s="2">
        <f t="shared" si="3"/>
        <v>2</v>
      </c>
      <c r="E163" s="3" t="s">
        <v>148</v>
      </c>
      <c r="F163" s="1" t="s">
        <v>40</v>
      </c>
      <c r="J163" s="1">
        <v>0.01</v>
      </c>
      <c r="K163" s="1">
        <v>1</v>
      </c>
      <c r="N163" s="1">
        <f t="shared" si="4"/>
        <v>600</v>
      </c>
      <c r="P163" s="1">
        <v>2</v>
      </c>
      <c r="Q163" s="1" t="s">
        <v>31</v>
      </c>
      <c r="R163" s="1">
        <v>3.2000000000000001E-2</v>
      </c>
      <c r="S163" s="1" t="s">
        <v>58</v>
      </c>
      <c r="T163" s="1">
        <v>6.4000000000000001E-2</v>
      </c>
      <c r="Y163" s="1">
        <v>5.5</v>
      </c>
      <c r="Z163" s="4">
        <v>1</v>
      </c>
      <c r="AC163" s="1">
        <v>10</v>
      </c>
      <c r="AD163" s="1">
        <v>242</v>
      </c>
    </row>
    <row r="164" spans="1:30">
      <c r="A164" s="6" t="s">
        <v>149</v>
      </c>
      <c r="B164" s="1" t="s">
        <v>45</v>
      </c>
      <c r="C164" s="2">
        <f t="shared" si="3"/>
        <v>2</v>
      </c>
      <c r="E164" s="3" t="s">
        <v>148</v>
      </c>
      <c r="F164" s="1" t="s">
        <v>40</v>
      </c>
      <c r="J164" s="1">
        <v>0.01</v>
      </c>
      <c r="K164" s="1">
        <v>1</v>
      </c>
      <c r="N164" s="1">
        <f t="shared" si="4"/>
        <v>600</v>
      </c>
      <c r="P164" s="1">
        <v>2</v>
      </c>
      <c r="Q164" s="1" t="s">
        <v>31</v>
      </c>
      <c r="R164" s="1">
        <v>3.2000000000000001E-2</v>
      </c>
      <c r="S164" s="1" t="s">
        <v>58</v>
      </c>
      <c r="T164" s="1">
        <v>6.4000000000000001E-2</v>
      </c>
      <c r="Y164" s="1">
        <v>5.5</v>
      </c>
      <c r="Z164" s="4">
        <v>1</v>
      </c>
      <c r="AC164" s="1">
        <v>100</v>
      </c>
      <c r="AD164" s="1">
        <v>291</v>
      </c>
    </row>
    <row r="165" spans="1:30">
      <c r="A165" s="6" t="s">
        <v>149</v>
      </c>
      <c r="B165" s="1" t="s">
        <v>45</v>
      </c>
      <c r="C165" s="2">
        <f t="shared" si="3"/>
        <v>2</v>
      </c>
      <c r="E165" s="3" t="s">
        <v>148</v>
      </c>
      <c r="F165" s="1" t="s">
        <v>40</v>
      </c>
      <c r="J165" s="1">
        <v>0.1</v>
      </c>
      <c r="K165" s="1">
        <v>1</v>
      </c>
      <c r="N165" s="1">
        <f t="shared" si="4"/>
        <v>60</v>
      </c>
      <c r="P165" s="1">
        <v>2</v>
      </c>
      <c r="Q165" s="1" t="s">
        <v>31</v>
      </c>
      <c r="R165" s="1">
        <v>3.2000000000000001E-2</v>
      </c>
      <c r="S165" s="1" t="s">
        <v>58</v>
      </c>
      <c r="T165" s="1">
        <v>6.4000000000000001E-2</v>
      </c>
      <c r="Y165" s="1">
        <v>5.5</v>
      </c>
      <c r="Z165" s="4">
        <v>1</v>
      </c>
      <c r="AC165" s="1">
        <v>10</v>
      </c>
      <c r="AD165" s="1">
        <v>216</v>
      </c>
    </row>
    <row r="166" spans="1:30">
      <c r="A166" s="6" t="s">
        <v>149</v>
      </c>
      <c r="B166" s="1" t="s">
        <v>45</v>
      </c>
      <c r="C166" s="2">
        <f t="shared" si="3"/>
        <v>2</v>
      </c>
      <c r="E166" s="3" t="s">
        <v>148</v>
      </c>
      <c r="F166" s="1" t="s">
        <v>40</v>
      </c>
      <c r="J166" s="1">
        <v>0.1</v>
      </c>
      <c r="K166" s="1">
        <v>1</v>
      </c>
      <c r="N166" s="1">
        <f t="shared" si="4"/>
        <v>60</v>
      </c>
      <c r="P166" s="1">
        <v>2</v>
      </c>
      <c r="Q166" s="1" t="s">
        <v>31</v>
      </c>
      <c r="R166" s="1">
        <v>3.2000000000000001E-2</v>
      </c>
      <c r="S166" s="1" t="s">
        <v>58</v>
      </c>
      <c r="T166" s="1">
        <v>6.4000000000000001E-2</v>
      </c>
      <c r="Y166" s="1">
        <v>5.5</v>
      </c>
      <c r="Z166" s="4">
        <v>1</v>
      </c>
      <c r="AC166" s="1">
        <v>100</v>
      </c>
      <c r="AD166" s="1">
        <v>268</v>
      </c>
    </row>
    <row r="167" spans="1:30">
      <c r="A167" s="6" t="s">
        <v>149</v>
      </c>
      <c r="B167" s="1" t="s">
        <v>45</v>
      </c>
      <c r="C167" s="2">
        <f t="shared" si="3"/>
        <v>2</v>
      </c>
      <c r="E167" s="3" t="s">
        <v>148</v>
      </c>
      <c r="F167" s="1" t="s">
        <v>40</v>
      </c>
      <c r="J167" s="1">
        <v>0.15</v>
      </c>
      <c r="K167" s="1">
        <v>1</v>
      </c>
      <c r="N167" s="1">
        <f t="shared" si="4"/>
        <v>40</v>
      </c>
      <c r="P167" s="1">
        <v>2</v>
      </c>
      <c r="Q167" s="1" t="s">
        <v>31</v>
      </c>
      <c r="R167" s="1">
        <v>3.2000000000000001E-2</v>
      </c>
      <c r="S167" s="1" t="s">
        <v>58</v>
      </c>
      <c r="T167" s="1">
        <v>6.4000000000000001E-2</v>
      </c>
      <c r="Y167" s="1">
        <v>5.5</v>
      </c>
      <c r="Z167" s="4">
        <v>1</v>
      </c>
      <c r="AC167" s="1">
        <v>10</v>
      </c>
      <c r="AD167" s="1">
        <v>220</v>
      </c>
    </row>
    <row r="168" spans="1:30">
      <c r="A168" s="6" t="s">
        <v>149</v>
      </c>
      <c r="B168" s="1" t="s">
        <v>45</v>
      </c>
      <c r="C168" s="2">
        <f t="shared" si="3"/>
        <v>2</v>
      </c>
      <c r="E168" s="3" t="s">
        <v>148</v>
      </c>
      <c r="F168" s="1" t="s">
        <v>40</v>
      </c>
      <c r="J168" s="1">
        <v>0.15</v>
      </c>
      <c r="K168" s="1">
        <v>1</v>
      </c>
      <c r="N168" s="1">
        <f t="shared" si="4"/>
        <v>40</v>
      </c>
      <c r="P168" s="1">
        <v>2</v>
      </c>
      <c r="Q168" s="1" t="s">
        <v>31</v>
      </c>
      <c r="R168" s="1">
        <v>3.2000000000000001E-2</v>
      </c>
      <c r="S168" s="1" t="s">
        <v>58</v>
      </c>
      <c r="T168" s="1">
        <v>6.4000000000000001E-2</v>
      </c>
      <c r="Y168" s="1">
        <v>5.5</v>
      </c>
      <c r="Z168" s="4">
        <v>1</v>
      </c>
      <c r="AC168" s="1">
        <v>100</v>
      </c>
      <c r="AD168" s="1">
        <v>275</v>
      </c>
    </row>
    <row r="169" spans="1:30">
      <c r="A169" s="6" t="s">
        <v>149</v>
      </c>
      <c r="B169" s="1" t="s">
        <v>45</v>
      </c>
      <c r="C169" s="2">
        <f t="shared" si="3"/>
        <v>2</v>
      </c>
      <c r="E169" s="3" t="s">
        <v>148</v>
      </c>
      <c r="F169" s="1" t="s">
        <v>40</v>
      </c>
      <c r="J169" s="1">
        <v>0.2</v>
      </c>
      <c r="K169" s="1">
        <v>1</v>
      </c>
      <c r="N169" s="1">
        <f t="shared" si="4"/>
        <v>30</v>
      </c>
      <c r="P169" s="1">
        <v>2</v>
      </c>
      <c r="Q169" s="1" t="s">
        <v>31</v>
      </c>
      <c r="R169" s="1">
        <v>3.2000000000000001E-2</v>
      </c>
      <c r="S169" s="1" t="s">
        <v>58</v>
      </c>
      <c r="T169" s="1">
        <v>6.4000000000000001E-2</v>
      </c>
      <c r="Y169" s="1">
        <v>5.5</v>
      </c>
      <c r="Z169" s="4">
        <v>1</v>
      </c>
      <c r="AC169" s="1">
        <v>10</v>
      </c>
      <c r="AD169" s="1">
        <v>229</v>
      </c>
    </row>
    <row r="170" spans="1:30">
      <c r="A170" s="6" t="s">
        <v>149</v>
      </c>
      <c r="B170" s="1" t="s">
        <v>45</v>
      </c>
      <c r="C170" s="2">
        <f t="shared" si="3"/>
        <v>2</v>
      </c>
      <c r="E170" s="3" t="s">
        <v>148</v>
      </c>
      <c r="F170" s="1" t="s">
        <v>40</v>
      </c>
      <c r="J170" s="1">
        <v>0.2</v>
      </c>
      <c r="K170" s="1">
        <v>1</v>
      </c>
      <c r="N170" s="1">
        <f t="shared" si="4"/>
        <v>30</v>
      </c>
      <c r="P170" s="1">
        <v>2</v>
      </c>
      <c r="Q170" s="1" t="s">
        <v>31</v>
      </c>
      <c r="R170" s="1">
        <v>3.2000000000000001E-2</v>
      </c>
      <c r="S170" s="1" t="s">
        <v>58</v>
      </c>
      <c r="T170" s="1">
        <v>6.4000000000000001E-2</v>
      </c>
      <c r="Y170" s="1">
        <v>5.5</v>
      </c>
      <c r="Z170" s="4">
        <v>1</v>
      </c>
      <c r="AC170" s="1">
        <v>100</v>
      </c>
      <c r="AD170" s="1">
        <v>286</v>
      </c>
    </row>
    <row r="171" spans="1:30">
      <c r="A171" s="5" t="s">
        <v>109</v>
      </c>
      <c r="B171" s="1" t="s">
        <v>151</v>
      </c>
      <c r="C171" s="2">
        <f t="shared" si="3"/>
        <v>2.9999999999999996</v>
      </c>
      <c r="E171" s="3" t="s">
        <v>57</v>
      </c>
      <c r="F171" s="1" t="s">
        <v>51</v>
      </c>
      <c r="H171" s="1">
        <v>-1</v>
      </c>
      <c r="I171" s="1">
        <v>-0.3</v>
      </c>
      <c r="L171" s="1">
        <v>5</v>
      </c>
      <c r="M171" s="1">
        <v>15</v>
      </c>
      <c r="N171" s="1">
        <f>(I171-H171)*1000/L171*M171</f>
        <v>2100</v>
      </c>
      <c r="P171" s="1">
        <v>2</v>
      </c>
      <c r="Q171" s="1" t="s">
        <v>31</v>
      </c>
      <c r="R171" s="1">
        <v>1.2500000000000001E-2</v>
      </c>
      <c r="S171" s="1" t="s">
        <v>58</v>
      </c>
      <c r="T171" s="1">
        <v>3.7499999999999999E-2</v>
      </c>
      <c r="Y171" s="1">
        <v>5.5</v>
      </c>
      <c r="Z171" s="4">
        <v>1</v>
      </c>
      <c r="AB171" s="1">
        <v>0.9</v>
      </c>
      <c r="AC171" s="1">
        <v>20</v>
      </c>
      <c r="AD171" s="1">
        <v>220</v>
      </c>
    </row>
    <row r="172" spans="1:30">
      <c r="A172" s="5" t="s">
        <v>92</v>
      </c>
      <c r="B172" s="1" t="s">
        <v>45</v>
      </c>
      <c r="C172" s="2">
        <f t="shared" si="3"/>
        <v>4</v>
      </c>
      <c r="E172" s="1" t="s">
        <v>93</v>
      </c>
      <c r="F172" s="1" t="s">
        <v>40</v>
      </c>
      <c r="J172" s="1">
        <v>0.04</v>
      </c>
      <c r="K172" s="1">
        <v>4</v>
      </c>
      <c r="N172" s="1">
        <v>600</v>
      </c>
      <c r="O172" s="1">
        <v>60</v>
      </c>
      <c r="P172" s="1">
        <v>2</v>
      </c>
      <c r="Q172" s="1" t="s">
        <v>94</v>
      </c>
      <c r="R172" s="1">
        <v>0.25</v>
      </c>
      <c r="S172" s="1" t="s">
        <v>42</v>
      </c>
      <c r="T172" s="1">
        <v>1</v>
      </c>
      <c r="Y172" s="1">
        <v>2.5</v>
      </c>
      <c r="Z172" s="4">
        <v>1</v>
      </c>
      <c r="AC172" s="1">
        <v>100</v>
      </c>
      <c r="AD172" s="1">
        <v>451</v>
      </c>
    </row>
    <row r="173" spans="1:30">
      <c r="A173" s="5" t="s">
        <v>100</v>
      </c>
      <c r="B173" s="1" t="s">
        <v>45</v>
      </c>
      <c r="C173" s="2">
        <f t="shared" si="3"/>
        <v>2.9999999999999996</v>
      </c>
      <c r="E173" s="3" t="s">
        <v>98</v>
      </c>
      <c r="F173" s="1" t="s">
        <v>30</v>
      </c>
      <c r="G173" s="1">
        <v>-1.3</v>
      </c>
      <c r="K173" s="1">
        <v>1</v>
      </c>
      <c r="N173" s="1">
        <v>300</v>
      </c>
      <c r="P173" s="1">
        <v>2</v>
      </c>
      <c r="Q173" s="1" t="s">
        <v>31</v>
      </c>
      <c r="R173" s="1">
        <v>1.2500000000000001E-2</v>
      </c>
      <c r="S173" s="1" t="s">
        <v>58</v>
      </c>
      <c r="T173" s="1">
        <v>3.7499999999999999E-2</v>
      </c>
      <c r="Y173" s="1">
        <v>2</v>
      </c>
      <c r="Z173" s="4">
        <v>1</v>
      </c>
      <c r="AC173" s="1">
        <v>50</v>
      </c>
      <c r="AD173" s="1">
        <v>490</v>
      </c>
    </row>
    <row r="174" spans="1:30">
      <c r="A174" s="5" t="s">
        <v>152</v>
      </c>
      <c r="B174" s="1" t="s">
        <v>45</v>
      </c>
      <c r="C174" s="2">
        <f t="shared" si="3"/>
        <v>4</v>
      </c>
      <c r="E174" s="3" t="s">
        <v>57</v>
      </c>
      <c r="F174" s="1" t="s">
        <v>40</v>
      </c>
      <c r="J174" s="1">
        <v>3</v>
      </c>
      <c r="K174" s="1">
        <v>1.5</v>
      </c>
      <c r="N174" s="1">
        <v>180</v>
      </c>
      <c r="P174" s="1">
        <v>2</v>
      </c>
      <c r="Q174" s="1" t="s">
        <v>94</v>
      </c>
      <c r="R174" s="1">
        <v>0.05</v>
      </c>
      <c r="S174" s="1" t="s">
        <v>42</v>
      </c>
      <c r="T174" s="1">
        <v>0.2</v>
      </c>
      <c r="Y174" s="1">
        <v>4.5</v>
      </c>
      <c r="Z174" s="4">
        <v>1</v>
      </c>
      <c r="AC174" s="1">
        <v>10</v>
      </c>
      <c r="AD174" s="1">
        <v>210</v>
      </c>
    </row>
    <row r="175" spans="1:30">
      <c r="A175" s="14" t="s">
        <v>153</v>
      </c>
      <c r="B175" s="3" t="s">
        <v>154</v>
      </c>
      <c r="C175" s="2">
        <f t="shared" si="3"/>
        <v>2.9999999999999996</v>
      </c>
      <c r="D175" s="3"/>
      <c r="E175" s="3" t="s">
        <v>35</v>
      </c>
      <c r="F175" s="3" t="s">
        <v>74</v>
      </c>
      <c r="G175" s="3"/>
      <c r="H175" s="3"/>
      <c r="I175" s="3"/>
      <c r="J175" s="1">
        <v>0.2</v>
      </c>
      <c r="K175" s="1">
        <v>1</v>
      </c>
      <c r="L175" s="3"/>
      <c r="M175" s="3"/>
      <c r="N175" s="1">
        <v>1800</v>
      </c>
      <c r="P175" s="1">
        <v>2</v>
      </c>
      <c r="Q175" s="3" t="s">
        <v>155</v>
      </c>
      <c r="R175" s="1">
        <v>1.2500000000000001E-2</v>
      </c>
      <c r="S175" s="3" t="s">
        <v>156</v>
      </c>
      <c r="T175" s="1">
        <v>3.7499999999999999E-2</v>
      </c>
      <c r="U175" s="3"/>
      <c r="V175" s="3"/>
      <c r="Y175" s="1">
        <v>4.5</v>
      </c>
      <c r="Z175" s="4">
        <v>1</v>
      </c>
      <c r="AB175" s="1">
        <v>0.85</v>
      </c>
      <c r="AC175" s="1">
        <v>10</v>
      </c>
      <c r="AD175" s="1">
        <v>250</v>
      </c>
    </row>
    <row r="176" spans="1:30" ht="17.25">
      <c r="A176" s="8" t="s">
        <v>157</v>
      </c>
      <c r="B176" s="1" t="s">
        <v>151</v>
      </c>
      <c r="C176" s="2">
        <f t="shared" si="3"/>
        <v>1</v>
      </c>
      <c r="E176" s="3" t="s">
        <v>57</v>
      </c>
      <c r="F176" s="1" t="s">
        <v>30</v>
      </c>
      <c r="G176" s="1">
        <v>-1.1000000000000001</v>
      </c>
      <c r="N176" s="1">
        <v>300</v>
      </c>
      <c r="P176" s="1">
        <v>3</v>
      </c>
      <c r="Q176" s="1" t="s">
        <v>47</v>
      </c>
      <c r="R176" s="1">
        <v>0.06</v>
      </c>
      <c r="S176" s="1" t="s">
        <v>32</v>
      </c>
      <c r="T176" s="1">
        <v>0.06</v>
      </c>
      <c r="Y176" s="1">
        <v>3</v>
      </c>
      <c r="Z176" s="4">
        <v>1</v>
      </c>
      <c r="AB176" s="1">
        <v>0.85</v>
      </c>
      <c r="AC176" s="1">
        <v>10</v>
      </c>
      <c r="AD176" s="1">
        <v>220</v>
      </c>
    </row>
  </sheetData>
  <autoFilter ref="D1:D176"/>
  <phoneticPr fontId="1" type="noConversion"/>
  <hyperlinks>
    <hyperlink ref="A52" r:id="rId1"/>
    <hyperlink ref="A48" r:id="rId2"/>
    <hyperlink ref="A5" r:id="rId3" tooltip="https://www.x-mol.com/paperRedirect/1802439888836554752"/>
    <hyperlink ref="A56" r:id="rId4" tooltip="https://www.x-mol.com/paperRedirect/1454204422604095488"/>
    <hyperlink ref="A57" r:id="rId5" tooltip="https://www.x-mol.com/paperRedirect/1454204422604095488"/>
    <hyperlink ref="A58" r:id="rId6" tooltip="https://www.x-mol.com/paperRedirect/1454204422604095488"/>
    <hyperlink ref="A59" r:id="rId7" tooltip="https://www.x-mol.com/paperRedirect/1454204422604095488"/>
    <hyperlink ref="A72" r:id="rId8" tooltip="https://www.x-mol.com/paperRedirect/1233302835013111808"/>
    <hyperlink ref="A13" r:id="rId9" tooltip="https://www.x-mol.com/paperRedirect/498760"/>
    <hyperlink ref="A16" r:id="rId10" tooltip="https://www.x-mol.com/paperRedirect/498760"/>
    <hyperlink ref="A12" r:id="rId11" tooltip="https://www.x-mol.com/paperRedirect/498760"/>
    <hyperlink ref="A15" r:id="rId12" tooltip="https://www.x-mol.com/paperRedirect/498760"/>
    <hyperlink ref="A14" r:id="rId13" tooltip="https://www.x-mol.com/paperRedirect/498760"/>
    <hyperlink ref="A18" r:id="rId14" tooltip="https://www.x-mol.com/paperRedirect/498760"/>
    <hyperlink ref="A17" r:id="rId15" tooltip="https://www.x-mol.com/paperRedirect/498760"/>
    <hyperlink ref="A19" r:id="rId16" tooltip="https://www.x-mol.com/paperRedirect/498760"/>
    <hyperlink ref="A81" r:id="rId17" tooltip="https://www.x-mol.com/paperRedirect/498760"/>
    <hyperlink ref="A82" r:id="rId18" tooltip="https://www.x-mol.com/paperRedirect/498760"/>
    <hyperlink ref="A45" r:id="rId19" tooltip="https://www.x-mol.com/paperRedirect/1892321217590419456"/>
    <hyperlink ref="A46" r:id="rId20" tooltip="https://www.x-mol.com/paperRedirect/1892321217590419456"/>
    <hyperlink ref="A109" r:id="rId21" tooltip="https://www.x-mol.com/paperRedirect/1499039208392515584"/>
    <hyperlink ref="A114" r:id="rId22" tooltip="https://www.x-mol.com/paperRedirect/1499039208392515584"/>
    <hyperlink ref="A105" r:id="rId23" tooltip="https://www.x-mol.com/paperRedirect/1499039208392515584"/>
    <hyperlink ref="A110" r:id="rId24" tooltip="https://www.x-mol.com/paperRedirect/1499039208392515584"/>
    <hyperlink ref="A106" r:id="rId25" tooltip="https://www.x-mol.com/paperRedirect/1499039208392515584"/>
    <hyperlink ref="A111" r:id="rId26" tooltip="https://www.x-mol.com/paperRedirect/1499039208392515584"/>
    <hyperlink ref="A107" r:id="rId27" tooltip="https://www.x-mol.com/paperRedirect/1499039208392515584"/>
    <hyperlink ref="A112" r:id="rId28" tooltip="https://www.x-mol.com/paperRedirect/1499039208392515584"/>
    <hyperlink ref="A108" r:id="rId29" tooltip="https://www.x-mol.com/paperRedirect/1499039208392515584"/>
    <hyperlink ref="A113" r:id="rId30" tooltip="https://www.x-mol.com/paperRedirect/1499039208392515584"/>
    <hyperlink ref="A101" r:id="rId31" tooltip="https://www.x-mol.com/paperRedirect/1696752762140512256"/>
    <hyperlink ref="A102" r:id="rId32" tooltip="https://www.x-mol.com/paperRedirect/1696752762140512256"/>
    <hyperlink ref="A103" r:id="rId33" tooltip="https://www.x-mol.com/paperRedirect/1696752762140512256"/>
    <hyperlink ref="A53" r:id="rId34" tooltip="https://www.x-mol.com/paperRedirect/1696752762140512256"/>
    <hyperlink ref="A54" r:id="rId35" tooltip="https://www.x-mol.com/paperRedirect/1696752762140512256"/>
    <hyperlink ref="A55" r:id="rId36" tooltip="https://www.x-mol.com/paperRedirect/1696752762140512256"/>
    <hyperlink ref="A25" r:id="rId37" tooltip="https://doi.org/10.12034/j.issn.1009-606X.218214"/>
    <hyperlink ref="A26" r:id="rId38" tooltip="https://www.x-mol.com/paperRedirect/1345490051206156288"/>
    <hyperlink ref="A94" r:id="rId39" tooltip="https://www.x-mol.com/paperRedirect/1345490051206156288"/>
    <hyperlink ref="A125" r:id="rId40" tooltip="https://www.x-mol.com/paperRedirect/1345490051206156288"/>
    <hyperlink ref="A97" r:id="rId41" tooltip="https://www.x-mol.com/paperRedirect/1345490051206156288"/>
    <hyperlink ref="A36" r:id="rId42" tooltip="https://www.x-mol.com/paperRedirect/1345490051206156288"/>
    <hyperlink ref="A31" r:id="rId43" tooltip="https://www.x-mol.com/paperRedirect/1345490051206156288"/>
    <hyperlink ref="A29" r:id="rId44" tooltip="https://www.x-mol.com/paperRedirect/1345490051206156288"/>
    <hyperlink ref="A32" r:id="rId45" tooltip="https://www.x-mol.com/paperRedirect/1345490051206156288"/>
    <hyperlink ref="A40" r:id="rId46" tooltip="https://www.x-mol.com/paperRedirect/1345490051206156288"/>
    <hyperlink ref="A35" r:id="rId47" tooltip="https://www.x-mol.com/paperRedirect/1345490051206156288"/>
    <hyperlink ref="A27" r:id="rId48" tooltip="https://www.x-mol.com/paperRedirect/1345490051206156288"/>
    <hyperlink ref="A34" r:id="rId49" tooltip="https://www.x-mol.com/paperRedirect/1345490051206156288"/>
    <hyperlink ref="A89" r:id="rId50" tooltip="https://www.x-mol.com/paperRedirect/1345490051206156288"/>
    <hyperlink ref="A151" r:id="rId51" tooltip="https://www.x-mol.com/paperRedirect/1275294968604815360"/>
    <hyperlink ref="A145" r:id="rId52" tooltip="https://www.x-mol.com/paperRedirect/1275294968604815360"/>
    <hyperlink ref="A156" r:id="rId53" tooltip="https://www.x-mol.com/paperRedirect/1275294968604815360"/>
    <hyperlink ref="A146" r:id="rId54" tooltip="https://www.x-mol.com/paperRedirect/1275294968604815360"/>
    <hyperlink ref="A159" r:id="rId55" tooltip="https://www.x-mol.com/paperRedirect/1275294968604815360"/>
    <hyperlink ref="A155" r:id="rId56" tooltip="https://www.x-mol.com/paperRedirect/1275294968604815360"/>
    <hyperlink ref="A153" r:id="rId57" tooltip="https://www.x-mol.com/paperRedirect/1275294968604815360"/>
    <hyperlink ref="A162" r:id="rId58" tooltip="https://www.x-mol.com/paperRedirect/1275294968604815360"/>
    <hyperlink ref="A147" r:id="rId59" tooltip="https://www.x-mol.com/paperRedirect/1275294968604815360"/>
    <hyperlink ref="A161" r:id="rId60" tooltip="https://www.x-mol.com/paperRedirect/1275294968604815360"/>
    <hyperlink ref="A149" r:id="rId61" tooltip="https://www.x-mol.com/paperRedirect/1275294968604815360"/>
    <hyperlink ref="A158" r:id="rId62" tooltip="https://www.x-mol.com/paperRedirect/1275294968604815360"/>
    <hyperlink ref="A154" r:id="rId63" tooltip="https://www.x-mol.com/paperRedirect/1275294968604815360"/>
    <hyperlink ref="A148" r:id="rId64" tooltip="https://www.x-mol.com/paperRedirect/1275294968604815360"/>
    <hyperlink ref="A157" r:id="rId65" tooltip="https://www.x-mol.com/paperRedirect/1275294968604815360"/>
    <hyperlink ref="A150" r:id="rId66" tooltip="https://www.x-mol.com/paperRedirect/1275294968604815360"/>
    <hyperlink ref="A160" r:id="rId67" tooltip="https://www.x-mol.com/paperRedirect/1275294968604815360"/>
    <hyperlink ref="A152" r:id="rId68" tooltip="https://www.x-mol.com/paperRedirect/1275294968604815360"/>
    <hyperlink ref="A23" r:id="rId69" display="https://www.x-mol.com/paperRedirect/1840855307428749312"/>
    <hyperlink ref="A21" r:id="rId70" display="https://www.x-mol.com/paperRedirect/1840855307428749312"/>
    <hyperlink ref="A22" r:id="rId71" display="https://www.x-mol.com/paperRedirect/1840855307428749312"/>
    <hyperlink ref="A119" r:id="rId72" tooltip="https://www.x-mol.com/paperRedirect/1499039208392515584"/>
    <hyperlink ref="A115" r:id="rId73" tooltip="https://www.x-mol.com/paperRedirect/1499039208392515584"/>
    <hyperlink ref="A120" r:id="rId74" tooltip="https://www.x-mol.com/paperRedirect/1499039208392515584"/>
    <hyperlink ref="A116" r:id="rId75" tooltip="https://www.x-mol.com/paperRedirect/1499039208392515584"/>
    <hyperlink ref="A121" r:id="rId76" tooltip="https://www.x-mol.com/paperRedirect/1499039208392515584"/>
    <hyperlink ref="A117" r:id="rId77" tooltip="https://www.x-mol.com/paperRedirect/1499039208392515584"/>
    <hyperlink ref="A122" r:id="rId78" tooltip="https://www.x-mol.com/paperRedirect/1499039208392515584"/>
    <hyperlink ref="A118" r:id="rId79" tooltip="https://www.x-mol.com/paperRedirect/1499039208392515584"/>
    <hyperlink ref="A60" r:id="rId80" tooltip="https://www.x-mol.com/paperRedirect/1802439888836554752"/>
    <hyperlink ref="A163" r:id="rId81" tooltip="https://www.x-mol.com/paperRedirect/1275294968604815360"/>
    <hyperlink ref="A164" r:id="rId82" tooltip="https://www.x-mol.com/paperRedirect/1275294968604815360"/>
    <hyperlink ref="A165" r:id="rId83" tooltip="https://www.x-mol.com/paperRedirect/1275294968604815360"/>
    <hyperlink ref="A166" r:id="rId84" tooltip="https://www.x-mol.com/paperRedirect/1275294968604815360"/>
    <hyperlink ref="A167" r:id="rId85" tooltip="https://www.x-mol.com/paperRedirect/1275294968604815360"/>
    <hyperlink ref="A168" r:id="rId86" tooltip="https://www.x-mol.com/paperRedirect/1275294968604815360"/>
    <hyperlink ref="A169" r:id="rId87" tooltip="https://www.x-mol.com/paperRedirect/1275294968604815360"/>
    <hyperlink ref="A170" r:id="rId88" tooltip="https://www.x-mol.com/paperRedirect/1275294968604815360"/>
  </hyperlinks>
  <pageMargins left="0.7" right="0.7" top="0.75" bottom="0.75" header="0.3" footer="0.3"/>
  <pageSetup paperSize="9" orientation="portrait" r:id="rId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2025-11-07T07:32:37Z</dcterms:modified>
</cp:coreProperties>
</file>